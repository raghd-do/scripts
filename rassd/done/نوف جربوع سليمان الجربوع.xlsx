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Cnav2j418ueBIaxbydfFvk4hjSkKjDUTP3pVKphHpWw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<sst xmlns="http://schemas.openxmlformats.org/spreadsheetml/2006/main" count="32" uniqueCount="25">
  <si>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</si>
  <si>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</si>
  <si>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</si>
  <si>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</si>
  <si>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نوف جربوع سليمان الجربوع</t>
  </si>
  <si>
    <t>المنهج</t>
  </si>
  <si>
    <t>تعاهد 3</t>
  </si>
  <si>
    <t>السجل المدني</t>
  </si>
  <si>
    <t>اسم البرنامج</t>
  </si>
  <si>
    <t>تاج الكرامة</t>
  </si>
  <si>
    <t>المستوى</t>
  </si>
  <si>
    <t>الكهف - الجاثية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</si>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</sst>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readingOrder="0"/>
    </xf>
    <xf borderId="18" fillId="0" fontId="1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1.120053895E9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8">
        <v>0.0</v>
      </c>
      <c r="E11" s="38">
        <v>0.0</v>
      </c>
      <c r="F11" s="38">
        <v>0.0</v>
      </c>
      <c r="G11" s="38">
        <v>0.0</v>
      </c>
      <c r="H11" s="38">
        <v>0.0</v>
      </c>
      <c r="I11" s="39">
        <f t="shared" ref="I11:I20" si="2">IF(AND(COUNT(C11)&gt;0, COUNT(D11)&gt;0, COUNT(E11)&gt;0, COUNT(F11)&gt;0, COUNT(G11)&gt;0, COUNT(H11)&gt;0), 10 - SUM(J11:O11), "")</f>
        <v>10</v>
      </c>
      <c r="J11" s="40">
        <f t="shared" ref="J11:J20" si="3">IF(C11&gt;2, (C11-2) * 0.25, 0)</f>
        <v>0</v>
      </c>
      <c r="K11" s="41">
        <f t="shared" ref="K11:K20" si="4">IF(D11&gt;1, (D11-1) * 0.25, 0)</f>
        <v>0</v>
      </c>
      <c r="L11" s="41">
        <f t="shared" ref="L11:M11" si="1">E11</f>
        <v>0</v>
      </c>
      <c r="M11" s="41">
        <f t="shared" si="1"/>
        <v>0</v>
      </c>
      <c r="N11" s="41">
        <f t="shared" ref="N11:N20" si="6">G11*1.5</f>
        <v>0</v>
      </c>
      <c r="O11" s="41">
        <f t="shared" ref="O11:O20" si="7">H11*0.125</f>
        <v>0</v>
      </c>
      <c r="P11" s="4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8">
        <v>0.0</v>
      </c>
      <c r="E12" s="38">
        <v>0.0</v>
      </c>
      <c r="F12" s="38">
        <v>0.0</v>
      </c>
      <c r="G12" s="38">
        <v>0.0</v>
      </c>
      <c r="H12" s="38">
        <v>0.0</v>
      </c>
      <c r="I12" s="39">
        <f t="shared" si="2"/>
        <v>10</v>
      </c>
      <c r="J12" s="40">
        <f t="shared" si="3"/>
        <v>0</v>
      </c>
      <c r="K12" s="41">
        <f t="shared" si="4"/>
        <v>0</v>
      </c>
      <c r="L12" s="41">
        <f t="shared" ref="L12:M12" si="5">E12</f>
        <v>0</v>
      </c>
      <c r="M12" s="41">
        <f t="shared" si="5"/>
        <v>0</v>
      </c>
      <c r="N12" s="41">
        <f t="shared" si="6"/>
        <v>0</v>
      </c>
      <c r="O12" s="41">
        <f t="shared" si="7"/>
        <v>0</v>
      </c>
      <c r="P12" s="4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8">
        <v>0.0</v>
      </c>
      <c r="E13" s="38">
        <v>0.0</v>
      </c>
      <c r="F13" s="38">
        <v>0.0</v>
      </c>
      <c r="G13" s="43">
        <v>1.0</v>
      </c>
      <c r="H13" s="38">
        <v>0.0</v>
      </c>
      <c r="I13" s="39">
        <f t="shared" si="2"/>
        <v>8.5</v>
      </c>
      <c r="J13" s="40">
        <f t="shared" si="3"/>
        <v>0</v>
      </c>
      <c r="K13" s="41">
        <f t="shared" si="4"/>
        <v>0</v>
      </c>
      <c r="L13" s="41">
        <f t="shared" ref="L13:M13" si="8">E13</f>
        <v>0</v>
      </c>
      <c r="M13" s="41">
        <f t="shared" si="8"/>
        <v>0</v>
      </c>
      <c r="N13" s="41">
        <f t="shared" si="6"/>
        <v>1.5</v>
      </c>
      <c r="O13" s="41">
        <f t="shared" si="7"/>
        <v>0</v>
      </c>
      <c r="P13" s="4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8">
        <v>0.0</v>
      </c>
      <c r="E14" s="38">
        <v>0.0</v>
      </c>
      <c r="F14" s="38">
        <v>0.0</v>
      </c>
      <c r="G14" s="38">
        <v>0.0</v>
      </c>
      <c r="H14" s="38">
        <v>0.0</v>
      </c>
      <c r="I14" s="39">
        <f t="shared" si="2"/>
        <v>10</v>
      </c>
      <c r="J14" s="40">
        <f t="shared" si="3"/>
        <v>0</v>
      </c>
      <c r="K14" s="41">
        <f t="shared" si="4"/>
        <v>0</v>
      </c>
      <c r="L14" s="41">
        <f t="shared" ref="L14:M14" si="9">E14</f>
        <v>0</v>
      </c>
      <c r="M14" s="41">
        <f t="shared" si="9"/>
        <v>0</v>
      </c>
      <c r="N14" s="41">
        <f t="shared" si="6"/>
        <v>0</v>
      </c>
      <c r="O14" s="41">
        <f t="shared" si="7"/>
        <v>0</v>
      </c>
      <c r="P14" s="4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43">
        <v>1.0</v>
      </c>
      <c r="E15" s="38">
        <v>0.0</v>
      </c>
      <c r="F15" s="38">
        <v>0.0</v>
      </c>
      <c r="G15" s="38">
        <v>0.0</v>
      </c>
      <c r="H15" s="38">
        <v>0.0</v>
      </c>
      <c r="I15" s="39">
        <f t="shared" si="2"/>
        <v>10</v>
      </c>
      <c r="J15" s="40">
        <f t="shared" si="3"/>
        <v>0</v>
      </c>
      <c r="K15" s="41">
        <f t="shared" si="4"/>
        <v>0</v>
      </c>
      <c r="L15" s="41">
        <f t="shared" ref="L15:M15" si="10">E15</f>
        <v>0</v>
      </c>
      <c r="M15" s="41">
        <f t="shared" si="10"/>
        <v>0</v>
      </c>
      <c r="N15" s="41">
        <f t="shared" si="6"/>
        <v>0</v>
      </c>
      <c r="O15" s="41">
        <f t="shared" si="7"/>
        <v>0</v>
      </c>
      <c r="P15" s="4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38">
        <v>0.0</v>
      </c>
      <c r="D16" s="38">
        <v>0.0</v>
      </c>
      <c r="E16" s="38">
        <v>0.0</v>
      </c>
      <c r="F16" s="38">
        <v>0.0</v>
      </c>
      <c r="G16" s="38">
        <v>0.0</v>
      </c>
      <c r="H16" s="38">
        <v>0.0</v>
      </c>
      <c r="I16" s="39">
        <f t="shared" si="2"/>
        <v>10</v>
      </c>
      <c r="J16" s="40">
        <f t="shared" si="3"/>
        <v>0</v>
      </c>
      <c r="K16" s="41">
        <f t="shared" si="4"/>
        <v>0</v>
      </c>
      <c r="L16" s="41">
        <f t="shared" ref="L16:M16" si="11">E16</f>
        <v>0</v>
      </c>
      <c r="M16" s="41">
        <f t="shared" si="11"/>
        <v>0</v>
      </c>
      <c r="N16" s="41">
        <f t="shared" si="6"/>
        <v>0</v>
      </c>
      <c r="O16" s="41">
        <f t="shared" si="7"/>
        <v>0</v>
      </c>
      <c r="P16" s="4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38">
        <v>0.0</v>
      </c>
      <c r="D17" s="38">
        <v>0.0</v>
      </c>
      <c r="E17" s="38">
        <v>0.0</v>
      </c>
      <c r="F17" s="38">
        <v>0.0</v>
      </c>
      <c r="G17" s="38">
        <v>0.0</v>
      </c>
      <c r="H17" s="38">
        <v>0.0</v>
      </c>
      <c r="I17" s="39">
        <f t="shared" si="2"/>
        <v>10</v>
      </c>
      <c r="J17" s="40">
        <f t="shared" si="3"/>
        <v>0</v>
      </c>
      <c r="K17" s="41">
        <f t="shared" si="4"/>
        <v>0</v>
      </c>
      <c r="L17" s="41">
        <f t="shared" ref="L17:M17" si="12">E17</f>
        <v>0</v>
      </c>
      <c r="M17" s="41">
        <f t="shared" si="12"/>
        <v>0</v>
      </c>
      <c r="N17" s="41">
        <f t="shared" si="6"/>
        <v>0</v>
      </c>
      <c r="O17" s="41">
        <f t="shared" si="7"/>
        <v>0</v>
      </c>
      <c r="P17" s="4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38">
        <v>0.0</v>
      </c>
      <c r="D18" s="38">
        <v>0.0</v>
      </c>
      <c r="E18" s="38">
        <v>0.0</v>
      </c>
      <c r="F18" s="38">
        <v>0.0</v>
      </c>
      <c r="G18" s="38">
        <v>0.0</v>
      </c>
      <c r="H18" s="38">
        <v>0.0</v>
      </c>
      <c r="I18" s="39">
        <f t="shared" si="2"/>
        <v>10</v>
      </c>
      <c r="J18" s="40">
        <f t="shared" si="3"/>
        <v>0</v>
      </c>
      <c r="K18" s="41">
        <f t="shared" si="4"/>
        <v>0</v>
      </c>
      <c r="L18" s="41">
        <f t="shared" ref="L18:M18" si="13">E18</f>
        <v>0</v>
      </c>
      <c r="M18" s="41">
        <f t="shared" si="13"/>
        <v>0</v>
      </c>
      <c r="N18" s="41">
        <f t="shared" si="6"/>
        <v>0</v>
      </c>
      <c r="O18" s="41">
        <f t="shared" si="7"/>
        <v>0</v>
      </c>
      <c r="P18" s="4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4">
        <v>9.0</v>
      </c>
      <c r="C19" s="38">
        <v>0.0</v>
      </c>
      <c r="D19" s="38">
        <v>0.0</v>
      </c>
      <c r="E19" s="38">
        <v>0.0</v>
      </c>
      <c r="F19" s="38">
        <v>0.0</v>
      </c>
      <c r="G19" s="38">
        <v>0.0</v>
      </c>
      <c r="H19" s="38">
        <v>0.0</v>
      </c>
      <c r="I19" s="45">
        <f t="shared" si="2"/>
        <v>10</v>
      </c>
      <c r="J19" s="40">
        <f t="shared" si="3"/>
        <v>0</v>
      </c>
      <c r="K19" s="41">
        <f t="shared" si="4"/>
        <v>0</v>
      </c>
      <c r="L19" s="41">
        <f t="shared" ref="L19:M19" si="14">E19</f>
        <v>0</v>
      </c>
      <c r="M19" s="41">
        <f t="shared" si="14"/>
        <v>0</v>
      </c>
      <c r="N19" s="41">
        <f t="shared" si="6"/>
        <v>0</v>
      </c>
      <c r="O19" s="41">
        <f t="shared" si="7"/>
        <v>0</v>
      </c>
      <c r="P19" s="4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4">
        <v>10.0</v>
      </c>
      <c r="C20" s="38">
        <v>0.0</v>
      </c>
      <c r="D20" s="38">
        <v>0.0</v>
      </c>
      <c r="E20" s="38">
        <v>0.0</v>
      </c>
      <c r="F20" s="38">
        <v>0.0</v>
      </c>
      <c r="G20" s="38">
        <v>0.0</v>
      </c>
      <c r="H20" s="38">
        <v>0.0</v>
      </c>
      <c r="I20" s="45">
        <f t="shared" si="2"/>
        <v>10</v>
      </c>
      <c r="J20" s="40">
        <f t="shared" si="3"/>
        <v>0</v>
      </c>
      <c r="K20" s="41">
        <f t="shared" si="4"/>
        <v>0</v>
      </c>
      <c r="L20" s="41">
        <f t="shared" ref="L20:M20" si="15">E20</f>
        <v>0</v>
      </c>
      <c r="M20" s="41">
        <f t="shared" si="15"/>
        <v>0</v>
      </c>
      <c r="N20" s="41">
        <f t="shared" si="6"/>
        <v>0</v>
      </c>
      <c r="O20" s="41">
        <f t="shared" si="7"/>
        <v>0</v>
      </c>
      <c r="P20" s="4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46" t="s">
        <v>23</v>
      </c>
      <c r="C21" s="47"/>
      <c r="D21" s="47"/>
      <c r="E21" s="47"/>
      <c r="F21" s="47"/>
      <c r="G21" s="47"/>
      <c r="H21" s="48"/>
      <c r="I21" s="49">
        <f>IF(AND(I11 = "", I12 = "", I13 = "", I14 = "", I15 = "", I16 = "", I17 = "", I18 = "", I19 = "",I20 = ""), "", (SUM(I11:I20) / (COUNT(I11:I20) * 10)) * 100)</f>
        <v>98.5</v>
      </c>
      <c r="J21" s="50"/>
      <c r="K21" s="50"/>
      <c r="L21" s="50"/>
      <c r="M21" s="50"/>
      <c r="N21" s="50"/>
      <c r="O21" s="50"/>
      <c r="P21" s="4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1"/>
      <c r="B22" s="52" t="s">
        <v>24</v>
      </c>
      <c r="C22" s="53"/>
      <c r="D22" s="53"/>
      <c r="E22" s="53"/>
      <c r="F22" s="53"/>
      <c r="G22" s="53"/>
      <c r="H22" s="54"/>
      <c r="I22" s="55" t="str">
        <f>IF(I21 = "", "", IF(I21 &gt;= 90, "ممتاز", IF(I21 &gt;= 80, "جيدجدا", IF(I21 &gt;= 70, "جيد", "راسب"))))</f>
        <v>ممتاز</v>
      </c>
      <c r="J22" s="50"/>
      <c r="K22" s="50"/>
      <c r="L22" s="50"/>
      <c r="M22" s="50"/>
      <c r="N22" s="50"/>
      <c r="O22" s="50"/>
      <c r="P22" s="4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56"/>
      <c r="D28" s="56"/>
      <c r="E28" s="56"/>
      <c r="F28" s="56"/>
      <c r="G28" s="56"/>
      <c r="H28" s="56"/>
      <c r="I28" s="1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57"/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</row>
    <row r="224" ht="15.75" customHeight="1">
      <c r="A224" s="57"/>
      <c r="B224" s="57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</row>
    <row r="225" ht="15.75" customHeight="1">
      <c r="A225" s="57"/>
      <c r="B225" s="57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</row>
    <row r="226" ht="15.75" customHeight="1">
      <c r="A226" s="57"/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</row>
    <row r="227" ht="15.75" customHeight="1">
      <c r="A227" s="57"/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</row>
    <row r="228" ht="15.75" customHeight="1">
      <c r="A228" s="57"/>
      <c r="B228" s="57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</row>
    <row r="229" ht="15.75" customHeight="1">
      <c r="A229" s="57"/>
      <c r="B229" s="57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</row>
    <row r="230" ht="15.75" customHeight="1">
      <c r="A230" s="57"/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</row>
    <row r="231" ht="15.75" customHeight="1">
      <c r="A231" s="57"/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</row>
    <row r="232" ht="15.75" customHeight="1">
      <c r="A232" s="57"/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</row>
    <row r="233" ht="15.75" customHeight="1">
      <c r="A233" s="57"/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</row>
    <row r="234" ht="15.75" customHeight="1">
      <c r="A234" s="57"/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</row>
    <row r="235" ht="15.75" customHeight="1">
      <c r="A235" s="57"/>
      <c r="B235" s="57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</row>
    <row r="236" ht="15.75" customHeight="1">
      <c r="A236" s="57"/>
      <c r="B236" s="57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</row>
    <row r="237" ht="15.75" customHeight="1">
      <c r="A237" s="57"/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</row>
    <row r="238" ht="15.75" customHeight="1">
      <c r="A238" s="57"/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</row>
    <row r="239" ht="15.75" customHeight="1">
      <c r="A239" s="57"/>
      <c r="B239" s="57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</row>
    <row r="240" ht="15.75" customHeight="1">
      <c r="A240" s="57"/>
      <c r="B240" s="57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</row>
    <row r="241" ht="15.75" customHeight="1">
      <c r="A241" s="57"/>
      <c r="B241" s="57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</row>
    <row r="242" ht="15.75" customHeight="1">
      <c r="A242" s="57"/>
      <c r="B242" s="57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</row>
    <row r="243" ht="15.75" customHeight="1">
      <c r="A243" s="57"/>
      <c r="B243" s="57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</row>
    <row r="244" ht="15.75" customHeight="1">
      <c r="A244" s="57"/>
      <c r="B244" s="57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</row>
    <row r="245" ht="15.75" customHeight="1">
      <c r="A245" s="57"/>
      <c r="B245" s="57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</row>
    <row r="246" ht="15.75" customHeight="1">
      <c r="A246" s="57"/>
      <c r="B246" s="57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</row>
    <row r="247" ht="15.75" customHeight="1">
      <c r="A247" s="57"/>
      <c r="B247" s="57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</row>
    <row r="248" ht="15.75" customHeight="1">
      <c r="A248" s="57"/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</row>
    <row r="249" ht="15.75" customHeight="1">
      <c r="A249" s="57"/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</row>
    <row r="250" ht="15.75" customHeight="1">
      <c r="A250" s="57"/>
      <c r="B250" s="57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</row>
    <row r="251" ht="15.75" customHeight="1">
      <c r="A251" s="57"/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</row>
    <row r="252" ht="15.75" customHeight="1">
      <c r="A252" s="57"/>
      <c r="B252" s="57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</row>
    <row r="253" ht="15.75" customHeight="1">
      <c r="A253" s="57"/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</row>
    <row r="254" ht="15.75" customHeight="1">
      <c r="A254" s="57"/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</row>
    <row r="255" ht="15.75" customHeight="1">
      <c r="A255" s="57"/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</row>
    <row r="256" ht="15.75" customHeight="1">
      <c r="A256" s="57"/>
      <c r="B256" s="57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</row>
    <row r="257" ht="15.75" customHeight="1">
      <c r="A257" s="57"/>
      <c r="B257" s="57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</row>
    <row r="258" ht="15.75" customHeight="1">
      <c r="A258" s="57"/>
      <c r="B258" s="57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</row>
    <row r="259" ht="15.75" customHeight="1">
      <c r="A259" s="57"/>
      <c r="B259" s="57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</row>
    <row r="260" ht="15.75" customHeight="1">
      <c r="A260" s="57"/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</row>
    <row r="261" ht="15.75" customHeight="1">
      <c r="A261" s="57"/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</row>
    <row r="262" ht="15.75" customHeight="1">
      <c r="A262" s="57"/>
      <c r="B262" s="57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</row>
    <row r="263" ht="15.75" customHeight="1">
      <c r="A263" s="57"/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</row>
    <row r="264" ht="15.75" customHeight="1">
      <c r="A264" s="57"/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</row>
    <row r="265" ht="15.75" customHeight="1">
      <c r="A265" s="57"/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</row>
    <row r="266" ht="15.75" customHeight="1">
      <c r="A266" s="57"/>
      <c r="B266" s="57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</row>
    <row r="267" ht="15.75" customHeight="1">
      <c r="A267" s="57"/>
      <c r="B267" s="57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</row>
    <row r="268" ht="15.75" customHeight="1">
      <c r="A268" s="57"/>
      <c r="B268" s="57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</row>
    <row r="269" ht="15.75" customHeight="1">
      <c r="A269" s="57"/>
      <c r="B269" s="57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</row>
    <row r="270" ht="15.75" customHeight="1">
      <c r="A270" s="57"/>
      <c r="B270" s="57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</row>
    <row r="271" ht="15.75" customHeight="1">
      <c r="A271" s="57"/>
      <c r="B271" s="57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</row>
    <row r="272" ht="15.75" customHeight="1">
      <c r="A272" s="57"/>
      <c r="B272" s="57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</row>
    <row r="273" ht="15.75" customHeight="1">
      <c r="A273" s="57"/>
      <c r="B273" s="57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</row>
    <row r="274" ht="15.75" customHeight="1">
      <c r="A274" s="57"/>
      <c r="B274" s="57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</row>
    <row r="275" ht="15.75" customHeight="1">
      <c r="A275" s="57"/>
      <c r="B275" s="57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</row>
    <row r="276" ht="15.75" customHeight="1">
      <c r="A276" s="57"/>
      <c r="B276" s="57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</row>
    <row r="277" ht="15.75" customHeight="1">
      <c r="A277" s="57"/>
      <c r="B277" s="57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</row>
    <row r="278" ht="15.75" customHeight="1">
      <c r="A278" s="57"/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</row>
    <row r="279" ht="15.75" customHeight="1">
      <c r="A279" s="57"/>
      <c r="B279" s="57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</row>
    <row r="280" ht="15.75" customHeight="1">
      <c r="A280" s="57"/>
      <c r="B280" s="57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</row>
    <row r="281" ht="15.75" customHeight="1">
      <c r="A281" s="57"/>
      <c r="B281" s="57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</row>
    <row r="282" ht="15.75" customHeight="1">
      <c r="A282" s="57"/>
      <c r="B282" s="57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</row>
    <row r="283" ht="15.75" customHeight="1">
      <c r="A283" s="57"/>
      <c r="B283" s="57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</row>
    <row r="284" ht="15.75" customHeight="1">
      <c r="A284" s="57"/>
      <c r="B284" s="57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</row>
    <row r="285" ht="15.75" customHeight="1">
      <c r="A285" s="57"/>
      <c r="B285" s="57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</row>
    <row r="286" ht="15.75" customHeight="1">
      <c r="A286" s="57"/>
      <c r="B286" s="57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</row>
    <row r="287" ht="15.75" customHeight="1">
      <c r="A287" s="57"/>
      <c r="B287" s="57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</row>
    <row r="288" ht="15.75" customHeight="1">
      <c r="A288" s="57"/>
      <c r="B288" s="57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</row>
    <row r="289" ht="15.75" customHeight="1">
      <c r="A289" s="57"/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</row>
    <row r="290" ht="15.75" customHeight="1">
      <c r="A290" s="57"/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</row>
    <row r="291" ht="15.75" customHeight="1">
      <c r="A291" s="57"/>
      <c r="B291" s="57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</row>
    <row r="292" ht="15.75" customHeight="1">
      <c r="A292" s="57"/>
      <c r="B292" s="57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</row>
    <row r="293" ht="15.75" customHeight="1">
      <c r="A293" s="57"/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</row>
    <row r="294" ht="15.75" customHeight="1">
      <c r="A294" s="57"/>
      <c r="B294" s="57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</row>
    <row r="295" ht="15.75" customHeight="1">
      <c r="A295" s="57"/>
      <c r="B295" s="57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</row>
    <row r="296" ht="15.75" customHeight="1">
      <c r="A296" s="57"/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</row>
    <row r="297" ht="15.75" customHeight="1">
      <c r="A297" s="57"/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</row>
    <row r="298" ht="15.75" customHeight="1">
      <c r="A298" s="57"/>
      <c r="B298" s="57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</row>
    <row r="299" ht="15.75" customHeight="1">
      <c r="A299" s="57"/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</row>
    <row r="300" ht="15.75" customHeight="1">
      <c r="A300" s="57"/>
      <c r="B300" s="57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</row>
    <row r="301" ht="15.75" customHeight="1">
      <c r="A301" s="57"/>
      <c r="B301" s="57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</row>
    <row r="302" ht="15.75" customHeight="1">
      <c r="A302" s="57"/>
      <c r="B302" s="57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</row>
    <row r="303" ht="15.75" customHeight="1">
      <c r="A303" s="57"/>
      <c r="B303" s="57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</row>
    <row r="304" ht="15.75" customHeight="1">
      <c r="A304" s="57"/>
      <c r="B304" s="57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</row>
    <row r="305" ht="15.75" customHeight="1">
      <c r="A305" s="57"/>
      <c r="B305" s="57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</row>
    <row r="306" ht="15.75" customHeight="1">
      <c r="A306" s="57"/>
      <c r="B306" s="57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</row>
    <row r="307" ht="15.75" customHeight="1">
      <c r="A307" s="57"/>
      <c r="B307" s="57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</row>
    <row r="308" ht="15.75" customHeight="1">
      <c r="A308" s="57"/>
      <c r="B308" s="57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</row>
    <row r="309" ht="15.75" customHeight="1">
      <c r="A309" s="57"/>
      <c r="B309" s="57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</row>
    <row r="310" ht="15.75" customHeight="1">
      <c r="A310" s="57"/>
      <c r="B310" s="57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</row>
    <row r="311" ht="15.75" customHeight="1">
      <c r="A311" s="57"/>
      <c r="B311" s="57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</row>
    <row r="312" ht="15.75" customHeight="1">
      <c r="A312" s="57"/>
      <c r="B312" s="57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</row>
    <row r="313" ht="15.75" customHeight="1">
      <c r="A313" s="57"/>
      <c r="B313" s="57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</row>
    <row r="314" ht="15.75" customHeight="1">
      <c r="A314" s="57"/>
      <c r="B314" s="57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</row>
    <row r="315" ht="15.75" customHeight="1">
      <c r="A315" s="57"/>
      <c r="B315" s="57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</row>
    <row r="316" ht="15.75" customHeight="1">
      <c r="A316" s="57"/>
      <c r="B316" s="57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</row>
    <row r="317" ht="15.75" customHeight="1">
      <c r="A317" s="57"/>
      <c r="B317" s="57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</row>
    <row r="318" ht="15.75" customHeight="1">
      <c r="A318" s="57"/>
      <c r="B318" s="57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</row>
    <row r="319" ht="15.75" customHeight="1">
      <c r="A319" s="57"/>
      <c r="B319" s="57"/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</row>
    <row r="320" ht="15.75" customHeight="1">
      <c r="A320" s="57"/>
      <c r="B320" s="57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</row>
    <row r="321" ht="15.75" customHeight="1">
      <c r="A321" s="57"/>
      <c r="B321" s="57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</row>
    <row r="322" ht="15.75" customHeight="1">
      <c r="A322" s="57"/>
      <c r="B322" s="57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</row>
    <row r="323" ht="15.75" customHeight="1">
      <c r="A323" s="57"/>
      <c r="B323" s="57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</row>
    <row r="324" ht="15.75" customHeight="1">
      <c r="A324" s="57"/>
      <c r="B324" s="57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</row>
    <row r="325" ht="15.75" customHeight="1">
      <c r="A325" s="57"/>
      <c r="B325" s="57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</row>
    <row r="326" ht="15.75" customHeight="1">
      <c r="A326" s="57"/>
      <c r="B326" s="57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</row>
    <row r="327" ht="15.75" customHeight="1">
      <c r="A327" s="57"/>
      <c r="B327" s="57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</row>
    <row r="328" ht="15.75" customHeight="1">
      <c r="A328" s="57"/>
      <c r="B328" s="57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</row>
    <row r="329" ht="15.75" customHeight="1">
      <c r="A329" s="57"/>
      <c r="B329" s="57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</row>
    <row r="330" ht="15.75" customHeight="1">
      <c r="A330" s="57"/>
      <c r="B330" s="57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</row>
    <row r="331" ht="15.75" customHeight="1">
      <c r="A331" s="57"/>
      <c r="B331" s="57"/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</row>
    <row r="332" ht="15.75" customHeight="1">
      <c r="A332" s="57"/>
      <c r="B332" s="57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</row>
    <row r="333" ht="15.75" customHeight="1">
      <c r="A333" s="57"/>
      <c r="B333" s="57"/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</row>
    <row r="334" ht="15.75" customHeight="1">
      <c r="A334" s="57"/>
      <c r="B334" s="57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</row>
    <row r="335" ht="15.75" customHeight="1">
      <c r="A335" s="57"/>
      <c r="B335" s="57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</row>
    <row r="336" ht="15.75" customHeight="1">
      <c r="A336" s="57"/>
      <c r="B336" s="57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</row>
    <row r="337" ht="15.75" customHeight="1">
      <c r="A337" s="57"/>
      <c r="B337" s="57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</row>
    <row r="338" ht="15.75" customHeight="1">
      <c r="A338" s="57"/>
      <c r="B338" s="57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</row>
    <row r="339" ht="15.75" customHeight="1">
      <c r="A339" s="57"/>
      <c r="B339" s="57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</row>
    <row r="340" ht="15.75" customHeight="1">
      <c r="A340" s="57"/>
      <c r="B340" s="57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</row>
    <row r="341" ht="15.75" customHeight="1">
      <c r="A341" s="57"/>
      <c r="B341" s="57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</row>
    <row r="342" ht="15.75" customHeight="1">
      <c r="A342" s="57"/>
      <c r="B342" s="57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</row>
    <row r="343" ht="15.75" customHeight="1">
      <c r="A343" s="57"/>
      <c r="B343" s="57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</row>
    <row r="344" ht="15.75" customHeight="1">
      <c r="A344" s="57"/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</row>
    <row r="345" ht="15.75" customHeight="1">
      <c r="A345" s="57"/>
      <c r="B345" s="57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</row>
    <row r="346" ht="15.75" customHeight="1">
      <c r="A346" s="57"/>
      <c r="B346" s="57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</row>
    <row r="347" ht="15.75" customHeight="1">
      <c r="A347" s="57"/>
      <c r="B347" s="57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</row>
    <row r="348" ht="15.75" customHeight="1">
      <c r="A348" s="57"/>
      <c r="B348" s="57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</row>
    <row r="349" ht="15.75" customHeight="1">
      <c r="A349" s="57"/>
      <c r="B349" s="57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</row>
    <row r="350" ht="15.75" customHeight="1">
      <c r="A350" s="57"/>
      <c r="B350" s="57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</row>
    <row r="351" ht="15.75" customHeight="1">
      <c r="A351" s="57"/>
      <c r="B351" s="57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</row>
    <row r="352" ht="15.75" customHeight="1">
      <c r="A352" s="57"/>
      <c r="B352" s="57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</row>
    <row r="353" ht="15.75" customHeight="1">
      <c r="A353" s="57"/>
      <c r="B353" s="57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</row>
    <row r="354" ht="15.75" customHeight="1">
      <c r="A354" s="57"/>
      <c r="B354" s="57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</row>
    <row r="355" ht="15.75" customHeight="1">
      <c r="A355" s="57"/>
      <c r="B355" s="57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</row>
    <row r="356" ht="15.75" customHeight="1">
      <c r="A356" s="57"/>
      <c r="B356" s="57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</row>
    <row r="357" ht="15.75" customHeight="1">
      <c r="A357" s="57"/>
      <c r="B357" s="57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</row>
    <row r="358" ht="15.75" customHeight="1">
      <c r="A358" s="57"/>
      <c r="B358" s="57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</row>
    <row r="359" ht="15.75" customHeight="1">
      <c r="A359" s="57"/>
      <c r="B359" s="57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</row>
    <row r="360" ht="15.75" customHeight="1">
      <c r="A360" s="57"/>
      <c r="B360" s="57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</row>
    <row r="361" ht="15.75" customHeight="1">
      <c r="A361" s="57"/>
      <c r="B361" s="57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</row>
    <row r="362" ht="15.75" customHeight="1">
      <c r="A362" s="57"/>
      <c r="B362" s="57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</row>
    <row r="363" ht="15.75" customHeight="1">
      <c r="A363" s="57"/>
      <c r="B363" s="57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</row>
    <row r="364" ht="15.75" customHeight="1">
      <c r="A364" s="57"/>
      <c r="B364" s="57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</row>
    <row r="365" ht="15.75" customHeight="1">
      <c r="A365" s="57"/>
      <c r="B365" s="57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</row>
    <row r="366" ht="15.75" customHeight="1">
      <c r="A366" s="57"/>
      <c r="B366" s="57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</row>
    <row r="367" ht="15.75" customHeight="1">
      <c r="A367" s="57"/>
      <c r="B367" s="57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</row>
    <row r="368" ht="15.75" customHeight="1">
      <c r="A368" s="57"/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</row>
    <row r="369" ht="15.75" customHeight="1">
      <c r="A369" s="57"/>
      <c r="B369" s="57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</row>
    <row r="370" ht="15.75" customHeight="1">
      <c r="A370" s="57"/>
      <c r="B370" s="57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</row>
    <row r="371" ht="15.75" customHeight="1">
      <c r="A371" s="57"/>
      <c r="B371" s="57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</row>
    <row r="372" ht="15.75" customHeight="1">
      <c r="A372" s="57"/>
      <c r="B372" s="57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</row>
    <row r="373" ht="15.75" customHeight="1">
      <c r="A373" s="57"/>
      <c r="B373" s="57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</row>
    <row r="374" ht="15.75" customHeight="1">
      <c r="A374" s="57"/>
      <c r="B374" s="57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</row>
    <row r="375" ht="15.75" customHeight="1">
      <c r="A375" s="57"/>
      <c r="B375" s="57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</row>
    <row r="376" ht="15.75" customHeight="1">
      <c r="A376" s="57"/>
      <c r="B376" s="57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</row>
    <row r="377" ht="15.75" customHeight="1">
      <c r="A377" s="57"/>
      <c r="B377" s="57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</row>
    <row r="378" ht="15.75" customHeight="1">
      <c r="A378" s="57"/>
      <c r="B378" s="57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</row>
    <row r="379" ht="15.75" customHeight="1">
      <c r="A379" s="57"/>
      <c r="B379" s="57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</row>
    <row r="380" ht="15.75" customHeight="1">
      <c r="A380" s="57"/>
      <c r="B380" s="57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</row>
    <row r="381" ht="15.75" customHeight="1">
      <c r="A381" s="57"/>
      <c r="B381" s="57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</row>
    <row r="382" ht="15.75" customHeight="1">
      <c r="A382" s="57"/>
      <c r="B382" s="57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</row>
    <row r="383" ht="15.75" customHeight="1">
      <c r="A383" s="57"/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</row>
    <row r="384" ht="15.75" customHeight="1">
      <c r="A384" s="57"/>
      <c r="B384" s="57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</row>
    <row r="385" ht="15.75" customHeight="1">
      <c r="A385" s="57"/>
      <c r="B385" s="57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</row>
    <row r="386" ht="15.75" customHeight="1">
      <c r="A386" s="57"/>
      <c r="B386" s="57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</row>
    <row r="387" ht="15.75" customHeight="1">
      <c r="A387" s="57"/>
      <c r="B387" s="57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</row>
    <row r="388" ht="15.75" customHeight="1">
      <c r="A388" s="57"/>
      <c r="B388" s="57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</row>
    <row r="389" ht="15.75" customHeight="1">
      <c r="A389" s="57"/>
      <c r="B389" s="57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</row>
    <row r="390" ht="15.75" customHeight="1">
      <c r="A390" s="57"/>
      <c r="B390" s="57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</row>
    <row r="391" ht="15.75" customHeight="1">
      <c r="A391" s="57"/>
      <c r="B391" s="57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</row>
    <row r="392" ht="15.75" customHeight="1">
      <c r="A392" s="57"/>
      <c r="B392" s="57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</row>
    <row r="393" ht="15.75" customHeight="1">
      <c r="A393" s="57"/>
      <c r="B393" s="57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</row>
    <row r="394" ht="15.75" customHeight="1">
      <c r="A394" s="57"/>
      <c r="B394" s="57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</row>
    <row r="395" ht="15.75" customHeight="1">
      <c r="A395" s="57"/>
      <c r="B395" s="57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</row>
    <row r="396" ht="15.75" customHeight="1">
      <c r="A396" s="57"/>
      <c r="B396" s="57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</row>
    <row r="397" ht="15.75" customHeight="1">
      <c r="A397" s="57"/>
      <c r="B397" s="57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</row>
    <row r="398" ht="15.75" customHeight="1">
      <c r="A398" s="57"/>
      <c r="B398" s="57"/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</row>
    <row r="399" ht="15.75" customHeight="1">
      <c r="A399" s="57"/>
      <c r="B399" s="57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</row>
    <row r="400" ht="15.75" customHeight="1">
      <c r="A400" s="57"/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</row>
    <row r="401" ht="15.75" customHeight="1">
      <c r="A401" s="57"/>
      <c r="B401" s="57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</row>
    <row r="402" ht="15.75" customHeight="1">
      <c r="A402" s="57"/>
      <c r="B402" s="57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</row>
    <row r="403" ht="15.75" customHeight="1">
      <c r="A403" s="57"/>
      <c r="B403" s="57"/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</row>
    <row r="404" ht="15.75" customHeight="1">
      <c r="A404" s="57"/>
      <c r="B404" s="57"/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</row>
    <row r="405" ht="15.75" customHeight="1">
      <c r="A405" s="57"/>
      <c r="B405" s="57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</row>
    <row r="406" ht="15.75" customHeight="1">
      <c r="A406" s="57"/>
      <c r="B406" s="57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</row>
    <row r="407" ht="15.75" customHeight="1">
      <c r="A407" s="57"/>
      <c r="B407" s="57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</row>
    <row r="408" ht="15.75" customHeight="1">
      <c r="A408" s="57"/>
      <c r="B408" s="57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</row>
    <row r="409" ht="15.75" customHeight="1">
      <c r="A409" s="57"/>
      <c r="B409" s="57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</row>
    <row r="410" ht="15.75" customHeight="1">
      <c r="A410" s="57"/>
      <c r="B410" s="57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</row>
    <row r="411" ht="15.75" customHeight="1">
      <c r="A411" s="57"/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</row>
    <row r="412" ht="15.75" customHeight="1">
      <c r="A412" s="57"/>
      <c r="B412" s="57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</row>
    <row r="413" ht="15.75" customHeight="1">
      <c r="A413" s="57"/>
      <c r="B413" s="57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</row>
    <row r="414" ht="15.75" customHeight="1">
      <c r="A414" s="57"/>
      <c r="B414" s="57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</row>
    <row r="415" ht="15.75" customHeight="1">
      <c r="A415" s="57"/>
      <c r="B415" s="57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</row>
    <row r="416" ht="15.75" customHeight="1">
      <c r="A416" s="57"/>
      <c r="B416" s="57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</row>
    <row r="417" ht="15.75" customHeight="1">
      <c r="A417" s="57"/>
      <c r="B417" s="57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</row>
    <row r="418" ht="15.75" customHeight="1">
      <c r="A418" s="57"/>
      <c r="B418" s="57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</row>
    <row r="419" ht="15.75" customHeight="1">
      <c r="A419" s="57"/>
      <c r="B419" s="57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</row>
    <row r="420" ht="15.75" customHeight="1">
      <c r="A420" s="57"/>
      <c r="B420" s="57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</row>
    <row r="421" ht="15.75" customHeight="1">
      <c r="A421" s="57"/>
      <c r="B421" s="57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</row>
    <row r="422" ht="15.75" customHeight="1">
      <c r="A422" s="57"/>
      <c r="B422" s="57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</row>
    <row r="423" ht="15.75" customHeight="1">
      <c r="A423" s="57"/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</row>
    <row r="424" ht="15.75" customHeight="1">
      <c r="A424" s="57"/>
      <c r="B424" s="57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</row>
    <row r="425" ht="15.75" customHeight="1">
      <c r="A425" s="57"/>
      <c r="B425" s="57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</row>
    <row r="426" ht="15.75" customHeight="1">
      <c r="A426" s="57"/>
      <c r="B426" s="57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</row>
    <row r="427" ht="15.75" customHeight="1">
      <c r="A427" s="57"/>
      <c r="B427" s="57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</row>
    <row r="428" ht="15.75" customHeight="1">
      <c r="A428" s="57"/>
      <c r="B428" s="57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</row>
    <row r="429" ht="15.75" customHeight="1">
      <c r="A429" s="57"/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</row>
    <row r="430" ht="15.75" customHeight="1">
      <c r="A430" s="57"/>
      <c r="B430" s="57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</row>
    <row r="431" ht="15.75" customHeight="1">
      <c r="A431" s="57"/>
      <c r="B431" s="57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</row>
    <row r="432" ht="15.75" customHeight="1">
      <c r="A432" s="57"/>
      <c r="B432" s="57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</row>
    <row r="433" ht="15.75" customHeight="1">
      <c r="A433" s="57"/>
      <c r="B433" s="57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</row>
    <row r="434" ht="15.75" customHeight="1">
      <c r="A434" s="57"/>
      <c r="B434" s="57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</row>
    <row r="435" ht="15.75" customHeight="1">
      <c r="A435" s="57"/>
      <c r="B435" s="57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</row>
    <row r="436" ht="15.75" customHeight="1">
      <c r="A436" s="57"/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</row>
    <row r="437" ht="15.75" customHeight="1">
      <c r="A437" s="57"/>
      <c r="B437" s="57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</row>
    <row r="438" ht="15.75" customHeight="1">
      <c r="A438" s="57"/>
      <c r="B438" s="57"/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</row>
    <row r="439" ht="15.75" customHeight="1">
      <c r="A439" s="57"/>
      <c r="B439" s="57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</row>
    <row r="440" ht="15.75" customHeight="1">
      <c r="A440" s="57"/>
      <c r="B440" s="57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</row>
    <row r="441" ht="15.75" customHeight="1">
      <c r="A441" s="57"/>
      <c r="B441" s="57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</row>
    <row r="442" ht="15.75" customHeight="1">
      <c r="A442" s="57"/>
      <c r="B442" s="57"/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</row>
    <row r="443" ht="15.75" customHeight="1">
      <c r="A443" s="57"/>
      <c r="B443" s="57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</row>
    <row r="444" ht="15.75" customHeight="1">
      <c r="A444" s="57"/>
      <c r="B444" s="57"/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</row>
    <row r="445" ht="15.75" customHeight="1">
      <c r="A445" s="57"/>
      <c r="B445" s="57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</row>
    <row r="446" ht="15.75" customHeight="1">
      <c r="A446" s="57"/>
      <c r="B446" s="57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</row>
    <row r="447" ht="15.75" customHeight="1">
      <c r="A447" s="57"/>
      <c r="B447" s="57"/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</row>
    <row r="448" ht="15.75" customHeight="1">
      <c r="A448" s="57"/>
      <c r="B448" s="57"/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</row>
    <row r="449" ht="15.75" customHeight="1">
      <c r="A449" s="57"/>
      <c r="B449" s="57"/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</row>
    <row r="450" ht="15.75" customHeight="1">
      <c r="A450" s="57"/>
      <c r="B450" s="57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</row>
    <row r="451" ht="15.75" customHeight="1">
      <c r="A451" s="57"/>
      <c r="B451" s="57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</row>
    <row r="452" ht="15.75" customHeight="1">
      <c r="A452" s="57"/>
      <c r="B452" s="57"/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</row>
    <row r="453" ht="15.75" customHeight="1">
      <c r="A453" s="57"/>
      <c r="B453" s="57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</row>
    <row r="454" ht="15.75" customHeight="1">
      <c r="A454" s="57"/>
      <c r="B454" s="57"/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</row>
    <row r="455" ht="15.75" customHeight="1">
      <c r="A455" s="57"/>
      <c r="B455" s="57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</row>
    <row r="456" ht="15.75" customHeight="1">
      <c r="A456" s="57"/>
      <c r="B456" s="57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</row>
    <row r="457" ht="15.75" customHeight="1">
      <c r="A457" s="57"/>
      <c r="B457" s="57"/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</row>
    <row r="458" ht="15.75" customHeight="1">
      <c r="A458" s="57"/>
      <c r="B458" s="57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</row>
    <row r="459" ht="15.75" customHeight="1">
      <c r="A459" s="57"/>
      <c r="B459" s="57"/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</row>
    <row r="460" ht="15.75" customHeight="1">
      <c r="A460" s="57"/>
      <c r="B460" s="57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</row>
    <row r="461" ht="15.75" customHeight="1">
      <c r="A461" s="57"/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</row>
    <row r="462" ht="15.75" customHeight="1">
      <c r="A462" s="57"/>
      <c r="B462" s="57"/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</row>
    <row r="463" ht="15.75" customHeight="1">
      <c r="A463" s="57"/>
      <c r="B463" s="57"/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</row>
    <row r="464" ht="15.75" customHeight="1">
      <c r="A464" s="57"/>
      <c r="B464" s="57"/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</row>
    <row r="465" ht="15.75" customHeight="1">
      <c r="A465" s="57"/>
      <c r="B465" s="57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</row>
    <row r="466" ht="15.75" customHeight="1">
      <c r="A466" s="57"/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</row>
    <row r="467" ht="15.75" customHeight="1">
      <c r="A467" s="57"/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</row>
    <row r="468" ht="15.75" customHeight="1">
      <c r="A468" s="57"/>
      <c r="B468" s="57"/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</row>
    <row r="469" ht="15.75" customHeight="1">
      <c r="A469" s="57"/>
      <c r="B469" s="57"/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</row>
    <row r="470" ht="15.75" customHeight="1">
      <c r="A470" s="57"/>
      <c r="B470" s="57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</row>
    <row r="471" ht="15.75" customHeight="1">
      <c r="A471" s="57"/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</row>
    <row r="472" ht="15.75" customHeight="1">
      <c r="A472" s="57"/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</row>
    <row r="473" ht="15.75" customHeight="1">
      <c r="A473" s="57"/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</row>
    <row r="474" ht="15.75" customHeight="1">
      <c r="A474" s="57"/>
      <c r="B474" s="57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</row>
    <row r="475" ht="15.75" customHeight="1">
      <c r="A475" s="57"/>
      <c r="B475" s="57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</row>
    <row r="476" ht="15.75" customHeight="1">
      <c r="A476" s="57"/>
      <c r="B476" s="57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</row>
    <row r="477" ht="15.75" customHeight="1">
      <c r="A477" s="57"/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</row>
    <row r="478" ht="15.75" customHeight="1">
      <c r="A478" s="57"/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</row>
    <row r="479" ht="15.75" customHeight="1">
      <c r="A479" s="57"/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</row>
    <row r="480" ht="15.75" customHeight="1">
      <c r="A480" s="57"/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</row>
    <row r="481" ht="15.75" customHeight="1">
      <c r="A481" s="57"/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</row>
    <row r="482" ht="15.75" customHeight="1">
      <c r="A482" s="57"/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</row>
    <row r="483" ht="15.75" customHeight="1">
      <c r="A483" s="57"/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</row>
    <row r="484" ht="15.75" customHeight="1">
      <c r="A484" s="57"/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</row>
    <row r="485" ht="15.75" customHeight="1">
      <c r="A485" s="57"/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</row>
    <row r="486" ht="15.75" customHeight="1">
      <c r="A486" s="57"/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</row>
    <row r="487" ht="15.75" customHeight="1">
      <c r="A487" s="57"/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</row>
    <row r="488" ht="15.75" customHeight="1">
      <c r="A488" s="57"/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</row>
    <row r="489" ht="15.75" customHeight="1">
      <c r="A489" s="57"/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</row>
    <row r="490" ht="15.75" customHeight="1">
      <c r="A490" s="57"/>
      <c r="B490" s="57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</row>
    <row r="491" ht="15.75" customHeight="1">
      <c r="A491" s="57"/>
      <c r="B491" s="57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</row>
    <row r="492" ht="15.75" customHeight="1">
      <c r="A492" s="57"/>
      <c r="B492" s="57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</row>
    <row r="493" ht="15.75" customHeight="1">
      <c r="A493" s="57"/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</row>
    <row r="494" ht="15.75" customHeight="1">
      <c r="A494" s="57"/>
      <c r="B494" s="57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</row>
    <row r="495" ht="15.75" customHeight="1">
      <c r="A495" s="57"/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</row>
    <row r="496" ht="15.75" customHeight="1">
      <c r="A496" s="57"/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</row>
    <row r="497" ht="15.75" customHeight="1">
      <c r="A497" s="57"/>
      <c r="B497" s="57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</row>
    <row r="498" ht="15.75" customHeight="1">
      <c r="A498" s="57"/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</row>
    <row r="499" ht="15.75" customHeight="1">
      <c r="A499" s="57"/>
      <c r="B499" s="57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</row>
    <row r="500" ht="15.75" customHeight="1">
      <c r="A500" s="57"/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</row>
    <row r="501" ht="15.75" customHeight="1">
      <c r="A501" s="57"/>
      <c r="B501" s="57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</row>
    <row r="502" ht="15.75" customHeight="1">
      <c r="A502" s="57"/>
      <c r="B502" s="57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</row>
    <row r="503" ht="15.75" customHeight="1">
      <c r="A503" s="57"/>
      <c r="B503" s="57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</row>
    <row r="504" ht="15.75" customHeight="1">
      <c r="A504" s="57"/>
      <c r="B504" s="57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</row>
    <row r="505" ht="15.75" customHeight="1">
      <c r="A505" s="57"/>
      <c r="B505" s="57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</row>
    <row r="506" ht="15.75" customHeight="1">
      <c r="A506" s="57"/>
      <c r="B506" s="57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</row>
    <row r="507" ht="15.75" customHeight="1">
      <c r="A507" s="57"/>
      <c r="B507" s="57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</row>
    <row r="508" ht="15.75" customHeight="1">
      <c r="A508" s="57"/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</row>
    <row r="509" ht="15.75" customHeight="1">
      <c r="A509" s="57"/>
      <c r="B509" s="57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</row>
    <row r="510" ht="15.75" customHeight="1">
      <c r="A510" s="57"/>
      <c r="B510" s="57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</row>
    <row r="511" ht="15.75" customHeight="1">
      <c r="A511" s="57"/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</row>
    <row r="512" ht="15.75" customHeight="1">
      <c r="A512" s="57"/>
      <c r="B512" s="57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</row>
    <row r="513" ht="15.75" customHeight="1">
      <c r="A513" s="57"/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</row>
    <row r="514" ht="15.75" customHeight="1">
      <c r="A514" s="57"/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</row>
    <row r="515" ht="15.75" customHeight="1">
      <c r="A515" s="57"/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</row>
    <row r="516" ht="15.75" customHeight="1">
      <c r="A516" s="57"/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</row>
    <row r="517" ht="15.75" customHeight="1">
      <c r="A517" s="57"/>
      <c r="B517" s="57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</row>
    <row r="518" ht="15.75" customHeight="1">
      <c r="A518" s="57"/>
      <c r="B518" s="57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</row>
    <row r="519" ht="15.75" customHeight="1">
      <c r="A519" s="57"/>
      <c r="B519" s="57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</row>
    <row r="520" ht="15.75" customHeight="1">
      <c r="A520" s="57"/>
      <c r="B520" s="57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</row>
    <row r="521" ht="15.75" customHeight="1">
      <c r="A521" s="57"/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</row>
    <row r="522" ht="15.75" customHeight="1">
      <c r="A522" s="57"/>
      <c r="B522" s="57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</row>
    <row r="523" ht="15.75" customHeight="1">
      <c r="A523" s="57"/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</row>
    <row r="524" ht="15.75" customHeight="1">
      <c r="A524" s="57"/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</row>
    <row r="525" ht="15.75" customHeight="1">
      <c r="A525" s="57"/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</row>
    <row r="526" ht="15.75" customHeight="1">
      <c r="A526" s="57"/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</row>
    <row r="527" ht="15.75" customHeight="1">
      <c r="A527" s="57"/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</row>
    <row r="528" ht="15.75" customHeight="1">
      <c r="A528" s="57"/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</row>
    <row r="529" ht="15.75" customHeight="1">
      <c r="A529" s="57"/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</row>
    <row r="530" ht="15.75" customHeight="1">
      <c r="A530" s="57"/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</row>
    <row r="531" ht="15.75" customHeight="1">
      <c r="A531" s="57"/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</row>
    <row r="532" ht="15.75" customHeight="1">
      <c r="A532" s="57"/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</row>
    <row r="533" ht="15.75" customHeight="1">
      <c r="A533" s="57"/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</row>
    <row r="534" ht="15.75" customHeight="1">
      <c r="A534" s="57"/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</row>
    <row r="535" ht="15.75" customHeight="1">
      <c r="A535" s="57"/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</row>
    <row r="536" ht="15.75" customHeight="1">
      <c r="A536" s="57"/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</row>
    <row r="537" ht="15.75" customHeight="1">
      <c r="A537" s="57"/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</row>
    <row r="538" ht="15.75" customHeight="1">
      <c r="A538" s="57"/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</row>
    <row r="539" ht="15.75" customHeight="1">
      <c r="A539" s="57"/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</row>
    <row r="540" ht="15.75" customHeight="1">
      <c r="A540" s="57"/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</row>
    <row r="541" ht="15.75" customHeight="1">
      <c r="A541" s="57"/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</row>
    <row r="542" ht="15.75" customHeight="1">
      <c r="A542" s="57"/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</row>
    <row r="543" ht="15.75" customHeight="1">
      <c r="A543" s="57"/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</row>
    <row r="544" ht="15.75" customHeight="1">
      <c r="A544" s="57"/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</row>
    <row r="545" ht="15.75" customHeight="1">
      <c r="A545" s="57"/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</row>
    <row r="546" ht="15.75" customHeight="1">
      <c r="A546" s="57"/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</row>
    <row r="547" ht="15.75" customHeight="1">
      <c r="A547" s="57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</row>
    <row r="548" ht="15.75" customHeight="1">
      <c r="A548" s="57"/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</row>
    <row r="549" ht="15.75" customHeight="1">
      <c r="A549" s="57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</row>
    <row r="550" ht="15.75" customHeight="1">
      <c r="A550" s="57"/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</row>
    <row r="551" ht="15.75" customHeight="1">
      <c r="A551" s="57"/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</row>
    <row r="552" ht="15.75" customHeight="1">
      <c r="A552" s="57"/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</row>
    <row r="553" ht="15.75" customHeight="1">
      <c r="A553" s="57"/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</row>
    <row r="554" ht="15.75" customHeight="1">
      <c r="A554" s="57"/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</row>
    <row r="555" ht="15.75" customHeight="1">
      <c r="A555" s="57"/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</row>
    <row r="556" ht="15.75" customHeight="1">
      <c r="A556" s="57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</row>
    <row r="557" ht="15.75" customHeight="1">
      <c r="A557" s="57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</row>
    <row r="558" ht="15.75" customHeight="1">
      <c r="A558" s="57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</row>
    <row r="559" ht="15.75" customHeight="1">
      <c r="A559" s="57"/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</row>
    <row r="560" ht="15.75" customHeight="1">
      <c r="A560" s="57"/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</row>
    <row r="561" ht="15.75" customHeight="1">
      <c r="A561" s="57"/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</row>
    <row r="562" ht="15.75" customHeight="1">
      <c r="A562" s="57"/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</row>
    <row r="563" ht="15.75" customHeight="1">
      <c r="A563" s="57"/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</row>
    <row r="564" ht="15.75" customHeight="1">
      <c r="A564" s="57"/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</row>
    <row r="565" ht="15.75" customHeight="1">
      <c r="A565" s="57"/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</row>
    <row r="566" ht="15.75" customHeight="1">
      <c r="A566" s="57"/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</row>
    <row r="567" ht="15.75" customHeight="1">
      <c r="A567" s="57"/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</row>
    <row r="568" ht="15.75" customHeight="1">
      <c r="A568" s="57"/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</row>
    <row r="569" ht="15.75" customHeight="1">
      <c r="A569" s="57"/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</row>
    <row r="570" ht="15.75" customHeight="1">
      <c r="A570" s="57"/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</row>
    <row r="571" ht="15.75" customHeight="1">
      <c r="A571" s="57"/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</row>
    <row r="572" ht="15.75" customHeight="1">
      <c r="A572" s="57"/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</row>
    <row r="573" ht="15.75" customHeight="1">
      <c r="A573" s="57"/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</row>
    <row r="574" ht="15.75" customHeight="1">
      <c r="A574" s="57"/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</row>
    <row r="575" ht="15.75" customHeight="1">
      <c r="A575" s="57"/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</row>
    <row r="576" ht="15.75" customHeight="1">
      <c r="A576" s="57"/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</row>
    <row r="577" ht="15.75" customHeight="1">
      <c r="A577" s="57"/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</row>
    <row r="578" ht="15.75" customHeight="1">
      <c r="A578" s="57"/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</row>
    <row r="579" ht="15.75" customHeight="1">
      <c r="A579" s="57"/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</row>
    <row r="580" ht="15.75" customHeight="1">
      <c r="A580" s="57"/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</row>
    <row r="581" ht="15.75" customHeight="1">
      <c r="A581" s="57"/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</row>
    <row r="582" ht="15.75" customHeight="1">
      <c r="A582" s="57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</row>
    <row r="583" ht="15.75" customHeight="1">
      <c r="A583" s="57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</row>
    <row r="584" ht="15.75" customHeight="1">
      <c r="A584" s="57"/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</row>
    <row r="585" ht="15.75" customHeight="1">
      <c r="A585" s="57"/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</row>
    <row r="586" ht="15.75" customHeight="1">
      <c r="A586" s="57"/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</row>
    <row r="587" ht="15.75" customHeight="1">
      <c r="A587" s="57"/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</row>
    <row r="588" ht="15.75" customHeight="1">
      <c r="A588" s="57"/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</row>
    <row r="589" ht="15.75" customHeight="1">
      <c r="A589" s="57"/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</row>
    <row r="590" ht="15.75" customHeight="1">
      <c r="A590" s="57"/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</row>
    <row r="591" ht="15.75" customHeight="1">
      <c r="A591" s="57"/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</row>
    <row r="592" ht="15.75" customHeight="1">
      <c r="A592" s="57"/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</row>
    <row r="593" ht="15.75" customHeight="1">
      <c r="A593" s="57"/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</row>
    <row r="594" ht="15.75" customHeight="1">
      <c r="A594" s="57"/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</row>
    <row r="595" ht="15.75" customHeight="1">
      <c r="A595" s="57"/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</row>
    <row r="596" ht="15.75" customHeight="1">
      <c r="A596" s="57"/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</row>
    <row r="597" ht="15.75" customHeight="1">
      <c r="A597" s="57"/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</row>
    <row r="598" ht="15.75" customHeight="1">
      <c r="A598" s="57"/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</row>
    <row r="599" ht="15.75" customHeight="1">
      <c r="A599" s="57"/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</row>
    <row r="600" ht="15.75" customHeight="1">
      <c r="A600" s="57"/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</row>
    <row r="601" ht="15.75" customHeight="1">
      <c r="A601" s="57"/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</row>
    <row r="602" ht="15.75" customHeight="1">
      <c r="A602" s="57"/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</row>
    <row r="603" ht="15.75" customHeight="1">
      <c r="A603" s="57"/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</row>
    <row r="604" ht="15.75" customHeight="1">
      <c r="A604" s="57"/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</row>
    <row r="605" ht="15.75" customHeight="1">
      <c r="A605" s="57"/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</row>
    <row r="606" ht="15.75" customHeight="1">
      <c r="A606" s="57"/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</row>
    <row r="607" ht="15.75" customHeight="1">
      <c r="A607" s="57"/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</row>
    <row r="608" ht="15.75" customHeight="1">
      <c r="A608" s="57"/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</row>
    <row r="609" ht="15.75" customHeight="1">
      <c r="A609" s="57"/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</row>
    <row r="610" ht="15.75" customHeight="1">
      <c r="A610" s="57"/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</row>
    <row r="611" ht="15.75" customHeight="1">
      <c r="A611" s="57"/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</row>
    <row r="612" ht="15.75" customHeight="1">
      <c r="A612" s="57"/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</row>
    <row r="613" ht="15.75" customHeight="1">
      <c r="A613" s="57"/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</row>
    <row r="614" ht="15.75" customHeight="1">
      <c r="A614" s="57"/>
      <c r="B614" s="57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</row>
    <row r="615" ht="15.75" customHeight="1">
      <c r="A615" s="57"/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</row>
    <row r="616" ht="15.75" customHeight="1">
      <c r="A616" s="57"/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</row>
    <row r="617" ht="15.75" customHeight="1">
      <c r="A617" s="57"/>
      <c r="B617" s="57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</row>
    <row r="618" ht="15.75" customHeight="1">
      <c r="A618" s="57"/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</row>
    <row r="619" ht="15.75" customHeight="1">
      <c r="A619" s="57"/>
      <c r="B619" s="57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</row>
    <row r="620" ht="15.75" customHeight="1">
      <c r="A620" s="57"/>
      <c r="B620" s="57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</row>
    <row r="621" ht="15.75" customHeight="1">
      <c r="A621" s="57"/>
      <c r="B621" s="57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</row>
    <row r="622" ht="15.75" customHeight="1">
      <c r="A622" s="57"/>
      <c r="B622" s="57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</row>
    <row r="623" ht="15.75" customHeight="1">
      <c r="A623" s="57"/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</row>
    <row r="624" ht="15.75" customHeight="1">
      <c r="A624" s="57"/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</row>
    <row r="625" ht="15.75" customHeight="1">
      <c r="A625" s="57"/>
      <c r="B625" s="57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</row>
    <row r="626" ht="15.75" customHeight="1">
      <c r="A626" s="57"/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</row>
    <row r="627" ht="15.75" customHeight="1">
      <c r="A627" s="57"/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</row>
    <row r="628" ht="15.75" customHeight="1">
      <c r="A628" s="57"/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</row>
    <row r="629" ht="15.75" customHeight="1">
      <c r="A629" s="57"/>
      <c r="B629" s="57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</row>
    <row r="630" ht="15.75" customHeight="1">
      <c r="A630" s="57"/>
      <c r="B630" s="57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</row>
    <row r="631" ht="15.75" customHeight="1">
      <c r="A631" s="57"/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</row>
    <row r="632" ht="15.75" customHeight="1">
      <c r="A632" s="57"/>
      <c r="B632" s="57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</row>
    <row r="633" ht="15.75" customHeight="1">
      <c r="A633" s="57"/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</row>
    <row r="634" ht="15.75" customHeight="1">
      <c r="A634" s="57"/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</row>
    <row r="635" ht="15.75" customHeight="1">
      <c r="A635" s="57"/>
      <c r="B635" s="57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</row>
    <row r="636" ht="15.75" customHeight="1">
      <c r="A636" s="57"/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</row>
    <row r="637" ht="15.75" customHeight="1">
      <c r="A637" s="57"/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</row>
    <row r="638" ht="15.75" customHeight="1">
      <c r="A638" s="57"/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</row>
    <row r="639" ht="15.75" customHeight="1">
      <c r="A639" s="57"/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</row>
    <row r="640" ht="15.75" customHeight="1">
      <c r="A640" s="57"/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</row>
    <row r="641" ht="15.75" customHeight="1">
      <c r="A641" s="57"/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</row>
    <row r="642" ht="15.75" customHeight="1">
      <c r="A642" s="57"/>
      <c r="B642" s="57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</row>
    <row r="643" ht="15.75" customHeight="1">
      <c r="A643" s="57"/>
      <c r="B643" s="57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</row>
    <row r="644" ht="15.75" customHeight="1">
      <c r="A644" s="57"/>
      <c r="B644" s="57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</row>
    <row r="645" ht="15.75" customHeight="1">
      <c r="A645" s="57"/>
      <c r="B645" s="57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</row>
    <row r="646" ht="15.75" customHeight="1">
      <c r="A646" s="57"/>
      <c r="B646" s="57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</row>
    <row r="647" ht="15.75" customHeight="1">
      <c r="A647" s="57"/>
      <c r="B647" s="57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</row>
    <row r="648" ht="15.75" customHeight="1">
      <c r="A648" s="57"/>
      <c r="B648" s="57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</row>
    <row r="649" ht="15.75" customHeight="1">
      <c r="A649" s="57"/>
      <c r="B649" s="57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</row>
    <row r="650" ht="15.75" customHeight="1">
      <c r="A650" s="57"/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</row>
    <row r="651" ht="15.75" customHeight="1">
      <c r="A651" s="57"/>
      <c r="B651" s="57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</row>
    <row r="652" ht="15.75" customHeight="1">
      <c r="A652" s="57"/>
      <c r="B652" s="57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</row>
    <row r="653" ht="15.75" customHeight="1">
      <c r="A653" s="57"/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</row>
    <row r="654" ht="15.75" customHeight="1">
      <c r="A654" s="57"/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</row>
    <row r="655" ht="15.75" customHeight="1">
      <c r="A655" s="57"/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</row>
    <row r="656" ht="15.75" customHeight="1">
      <c r="A656" s="57"/>
      <c r="B656" s="57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</row>
    <row r="657" ht="15.75" customHeight="1">
      <c r="A657" s="57"/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</row>
    <row r="658" ht="15.75" customHeight="1">
      <c r="A658" s="57"/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</row>
    <row r="659" ht="15.75" customHeight="1">
      <c r="A659" s="57"/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</row>
    <row r="660" ht="15.75" customHeight="1">
      <c r="A660" s="57"/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</row>
    <row r="661" ht="15.75" customHeight="1">
      <c r="A661" s="57"/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</row>
    <row r="662" ht="15.75" customHeight="1">
      <c r="A662" s="57"/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</row>
    <row r="663" ht="15.75" customHeight="1">
      <c r="A663" s="57"/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</row>
    <row r="664" ht="15.75" customHeight="1">
      <c r="A664" s="57"/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</row>
    <row r="665" ht="15.75" customHeight="1">
      <c r="A665" s="57"/>
      <c r="B665" s="57"/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</row>
    <row r="666" ht="15.75" customHeight="1">
      <c r="A666" s="57"/>
      <c r="B666" s="57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</row>
    <row r="667" ht="15.75" customHeight="1">
      <c r="A667" s="57"/>
      <c r="B667" s="57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</row>
    <row r="668" ht="15.75" customHeight="1">
      <c r="A668" s="57"/>
      <c r="B668" s="57"/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</row>
    <row r="669" ht="15.75" customHeight="1">
      <c r="A669" s="57"/>
      <c r="B669" s="57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</row>
    <row r="670" ht="15.75" customHeight="1">
      <c r="A670" s="57"/>
      <c r="B670" s="57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</row>
    <row r="671" ht="15.75" customHeight="1">
      <c r="A671" s="57"/>
      <c r="B671" s="57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</row>
    <row r="672" ht="15.75" customHeight="1">
      <c r="A672" s="57"/>
      <c r="B672" s="57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</row>
    <row r="673" ht="15.75" customHeight="1">
      <c r="A673" s="57"/>
      <c r="B673" s="57"/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</row>
    <row r="674" ht="15.75" customHeight="1">
      <c r="A674" s="57"/>
      <c r="B674" s="57"/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</row>
    <row r="675" ht="15.75" customHeight="1">
      <c r="A675" s="57"/>
      <c r="B675" s="57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</row>
    <row r="676" ht="15.75" customHeight="1">
      <c r="A676" s="57"/>
      <c r="B676" s="57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</row>
    <row r="677" ht="15.75" customHeight="1">
      <c r="A677" s="57"/>
      <c r="B677" s="57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</row>
    <row r="678" ht="15.75" customHeight="1">
      <c r="A678" s="57"/>
      <c r="B678" s="57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</row>
    <row r="679" ht="15.75" customHeight="1">
      <c r="A679" s="57"/>
      <c r="B679" s="57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</row>
    <row r="680" ht="15.75" customHeight="1">
      <c r="A680" s="57"/>
      <c r="B680" s="57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</row>
    <row r="681" ht="15.75" customHeight="1">
      <c r="A681" s="57"/>
      <c r="B681" s="57"/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</row>
    <row r="682" ht="15.75" customHeight="1">
      <c r="A682" s="57"/>
      <c r="B682" s="57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</row>
    <row r="683" ht="15.75" customHeight="1">
      <c r="A683" s="57"/>
      <c r="B683" s="57"/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</row>
    <row r="684" ht="15.75" customHeight="1">
      <c r="A684" s="57"/>
      <c r="B684" s="57"/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</row>
    <row r="685" ht="15.75" customHeight="1">
      <c r="A685" s="57"/>
      <c r="B685" s="57"/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</row>
    <row r="686" ht="15.75" customHeight="1">
      <c r="A686" s="57"/>
      <c r="B686" s="57"/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</row>
    <row r="687" ht="15.75" customHeight="1">
      <c r="A687" s="57"/>
      <c r="B687" s="57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</row>
    <row r="688" ht="15.75" customHeight="1">
      <c r="A688" s="57"/>
      <c r="B688" s="57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</row>
    <row r="689" ht="15.75" customHeight="1">
      <c r="A689" s="57"/>
      <c r="B689" s="57"/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</row>
    <row r="690" ht="15.75" customHeight="1">
      <c r="A690" s="57"/>
      <c r="B690" s="57"/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</row>
    <row r="691" ht="15.75" customHeight="1">
      <c r="A691" s="57"/>
      <c r="B691" s="57"/>
      <c r="C691" s="57"/>
      <c r="D691" s="57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</row>
    <row r="692" ht="15.75" customHeight="1">
      <c r="A692" s="57"/>
      <c r="B692" s="57"/>
      <c r="C692" s="57"/>
      <c r="D692" s="57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</row>
    <row r="693" ht="15.75" customHeight="1">
      <c r="A693" s="57"/>
      <c r="B693" s="57"/>
      <c r="C693" s="57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</row>
    <row r="694" ht="15.75" customHeight="1">
      <c r="A694" s="57"/>
      <c r="B694" s="57"/>
      <c r="C694" s="57"/>
      <c r="D694" s="57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</row>
    <row r="695" ht="15.75" customHeight="1">
      <c r="A695" s="57"/>
      <c r="B695" s="57"/>
      <c r="C695" s="57"/>
      <c r="D695" s="57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</row>
    <row r="696" ht="15.75" customHeight="1">
      <c r="A696" s="57"/>
      <c r="B696" s="57"/>
      <c r="C696" s="57"/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</row>
    <row r="697" ht="15.75" customHeight="1">
      <c r="A697" s="57"/>
      <c r="B697" s="57"/>
      <c r="C697" s="57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</row>
    <row r="698" ht="15.75" customHeight="1">
      <c r="A698" s="57"/>
      <c r="B698" s="57"/>
      <c r="C698" s="57"/>
      <c r="D698" s="57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</row>
    <row r="699" ht="15.75" customHeight="1">
      <c r="A699" s="57"/>
      <c r="B699" s="57"/>
      <c r="C699" s="57"/>
      <c r="D699" s="57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</row>
    <row r="700" ht="15.75" customHeight="1">
      <c r="A700" s="57"/>
      <c r="B700" s="57"/>
      <c r="C700" s="57"/>
      <c r="D700" s="57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</row>
    <row r="701" ht="15.75" customHeight="1">
      <c r="A701" s="57"/>
      <c r="B701" s="57"/>
      <c r="C701" s="57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</row>
    <row r="702" ht="15.75" customHeight="1">
      <c r="A702" s="57"/>
      <c r="B702" s="57"/>
      <c r="C702" s="57"/>
      <c r="D702" s="57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</row>
    <row r="703" ht="15.75" customHeight="1">
      <c r="A703" s="57"/>
      <c r="B703" s="57"/>
      <c r="C703" s="57"/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</row>
    <row r="704" ht="15.75" customHeight="1">
      <c r="A704" s="57"/>
      <c r="B704" s="57"/>
      <c r="C704" s="57"/>
      <c r="D704" s="57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</row>
    <row r="705" ht="15.75" customHeight="1">
      <c r="A705" s="57"/>
      <c r="B705" s="57"/>
      <c r="C705" s="57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</row>
    <row r="706" ht="15.75" customHeight="1">
      <c r="A706" s="57"/>
      <c r="B706" s="57"/>
      <c r="C706" s="57"/>
      <c r="D706" s="57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</row>
    <row r="707" ht="15.75" customHeight="1">
      <c r="A707" s="57"/>
      <c r="B707" s="57"/>
      <c r="C707" s="57"/>
      <c r="D707" s="57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</row>
    <row r="708" ht="15.75" customHeight="1">
      <c r="A708" s="57"/>
      <c r="B708" s="57"/>
      <c r="C708" s="57"/>
      <c r="D708" s="57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</row>
    <row r="709" ht="15.75" customHeight="1">
      <c r="A709" s="57"/>
      <c r="B709" s="57"/>
      <c r="C709" s="57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</row>
    <row r="710" ht="15.75" customHeight="1">
      <c r="A710" s="57"/>
      <c r="B710" s="57"/>
      <c r="C710" s="57"/>
      <c r="D710" s="57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</row>
    <row r="711" ht="15.75" customHeight="1">
      <c r="A711" s="57"/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</row>
    <row r="712" ht="15.75" customHeight="1">
      <c r="A712" s="57"/>
      <c r="B712" s="57"/>
      <c r="C712" s="57"/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</row>
    <row r="713" ht="15.75" customHeight="1">
      <c r="A713" s="57"/>
      <c r="B713" s="57"/>
      <c r="C713" s="57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</row>
    <row r="714" ht="15.75" customHeight="1">
      <c r="A714" s="57"/>
      <c r="B714" s="57"/>
      <c r="C714" s="57"/>
      <c r="D714" s="57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</row>
    <row r="715" ht="15.75" customHeight="1">
      <c r="A715" s="57"/>
      <c r="B715" s="57"/>
      <c r="C715" s="57"/>
      <c r="D715" s="57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</row>
    <row r="716" ht="15.75" customHeight="1">
      <c r="A716" s="57"/>
      <c r="B716" s="57"/>
      <c r="C716" s="57"/>
      <c r="D716" s="57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</row>
    <row r="717" ht="15.75" customHeight="1">
      <c r="A717" s="57"/>
      <c r="B717" s="57"/>
      <c r="C717" s="57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</row>
    <row r="718" ht="15.75" customHeight="1">
      <c r="A718" s="57"/>
      <c r="B718" s="57"/>
      <c r="C718" s="57"/>
      <c r="D718" s="57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</row>
    <row r="719" ht="15.75" customHeight="1">
      <c r="A719" s="57"/>
      <c r="B719" s="57"/>
      <c r="C719" s="57"/>
      <c r="D719" s="57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</row>
    <row r="720" ht="15.75" customHeight="1">
      <c r="A720" s="57"/>
      <c r="B720" s="57"/>
      <c r="C720" s="57"/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</row>
    <row r="721" ht="15.75" customHeight="1">
      <c r="A721" s="57"/>
      <c r="B721" s="57"/>
      <c r="C721" s="57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</row>
    <row r="722" ht="15.75" customHeight="1">
      <c r="A722" s="57"/>
      <c r="B722" s="57"/>
      <c r="C722" s="57"/>
      <c r="D722" s="57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</row>
    <row r="723" ht="15.75" customHeight="1">
      <c r="A723" s="57"/>
      <c r="B723" s="57"/>
      <c r="C723" s="57"/>
      <c r="D723" s="57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</row>
    <row r="724" ht="15.75" customHeight="1">
      <c r="A724" s="57"/>
      <c r="B724" s="57"/>
      <c r="C724" s="57"/>
      <c r="D724" s="57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</row>
    <row r="725" ht="15.75" customHeight="1">
      <c r="A725" s="57"/>
      <c r="B725" s="57"/>
      <c r="C725" s="57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</row>
    <row r="726" ht="15.75" customHeight="1">
      <c r="A726" s="57"/>
      <c r="B726" s="57"/>
      <c r="C726" s="57"/>
      <c r="D726" s="57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</row>
    <row r="727" ht="15.75" customHeight="1">
      <c r="A727" s="57"/>
      <c r="B727" s="57"/>
      <c r="C727" s="57"/>
      <c r="D727" s="57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</row>
    <row r="728" ht="15.75" customHeight="1">
      <c r="A728" s="57"/>
      <c r="B728" s="57"/>
      <c r="C728" s="57"/>
      <c r="D728" s="57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</row>
    <row r="729" ht="15.75" customHeight="1">
      <c r="A729" s="57"/>
      <c r="B729" s="57"/>
      <c r="C729" s="57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</row>
    <row r="730" ht="15.75" customHeight="1">
      <c r="A730" s="57"/>
      <c r="B730" s="57"/>
      <c r="C730" s="57"/>
      <c r="D730" s="57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</row>
    <row r="731" ht="15.75" customHeight="1">
      <c r="A731" s="57"/>
      <c r="B731" s="57"/>
      <c r="C731" s="57"/>
      <c r="D731" s="57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</row>
    <row r="732" ht="15.75" customHeight="1">
      <c r="A732" s="57"/>
      <c r="B732" s="57"/>
      <c r="C732" s="57"/>
      <c r="D732" s="57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</row>
    <row r="733" ht="15.75" customHeight="1">
      <c r="A733" s="57"/>
      <c r="B733" s="57"/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</row>
    <row r="734" ht="15.75" customHeight="1">
      <c r="A734" s="57"/>
      <c r="B734" s="57"/>
      <c r="C734" s="57"/>
      <c r="D734" s="57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</row>
    <row r="735" ht="15.75" customHeight="1">
      <c r="A735" s="57"/>
      <c r="B735" s="57"/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</row>
    <row r="736" ht="15.75" customHeight="1">
      <c r="A736" s="57"/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</row>
    <row r="737" ht="15.75" customHeight="1">
      <c r="A737" s="57"/>
      <c r="B737" s="57"/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</row>
    <row r="738" ht="15.75" customHeight="1">
      <c r="A738" s="57"/>
      <c r="B738" s="57"/>
      <c r="C738" s="57"/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</row>
    <row r="739" ht="15.75" customHeight="1">
      <c r="A739" s="57"/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</row>
    <row r="740" ht="15.75" customHeight="1">
      <c r="A740" s="57"/>
      <c r="B740" s="57"/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</row>
    <row r="741" ht="15.75" customHeight="1">
      <c r="A741" s="57"/>
      <c r="B741" s="57"/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</row>
    <row r="742" ht="15.75" customHeight="1">
      <c r="A742" s="57"/>
      <c r="B742" s="57"/>
      <c r="C742" s="57"/>
      <c r="D742" s="57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</row>
    <row r="743" ht="15.75" customHeight="1">
      <c r="A743" s="57"/>
      <c r="B743" s="57"/>
      <c r="C743" s="57"/>
      <c r="D743" s="57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</row>
    <row r="744" ht="15.75" customHeight="1">
      <c r="A744" s="57"/>
      <c r="B744" s="57"/>
      <c r="C744" s="57"/>
      <c r="D744" s="57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</row>
    <row r="745" ht="15.75" customHeight="1">
      <c r="A745" s="57"/>
      <c r="B745" s="57"/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</row>
    <row r="746" ht="15.75" customHeight="1">
      <c r="A746" s="57"/>
      <c r="B746" s="57"/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</row>
    <row r="747" ht="15.75" customHeight="1">
      <c r="A747" s="57"/>
      <c r="B747" s="57"/>
      <c r="C747" s="57"/>
      <c r="D747" s="57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</row>
    <row r="748" ht="15.75" customHeight="1">
      <c r="A748" s="57"/>
      <c r="B748" s="57"/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</row>
    <row r="749" ht="15.75" customHeight="1">
      <c r="A749" s="57"/>
      <c r="B749" s="57"/>
      <c r="C749" s="57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</row>
    <row r="750" ht="15.75" customHeight="1">
      <c r="A750" s="57"/>
      <c r="B750" s="57"/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</row>
    <row r="751" ht="15.75" customHeight="1">
      <c r="A751" s="57"/>
      <c r="B751" s="57"/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</row>
    <row r="752" ht="15.75" customHeight="1">
      <c r="A752" s="57"/>
      <c r="B752" s="57"/>
      <c r="C752" s="57"/>
      <c r="D752" s="57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</row>
    <row r="753" ht="15.75" customHeight="1">
      <c r="A753" s="57"/>
      <c r="B753" s="57"/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</row>
    <row r="754" ht="15.75" customHeight="1">
      <c r="A754" s="57"/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</row>
    <row r="755" ht="15.75" customHeight="1">
      <c r="A755" s="57"/>
      <c r="B755" s="57"/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</row>
    <row r="756" ht="15.75" customHeight="1">
      <c r="A756" s="57"/>
      <c r="B756" s="57"/>
      <c r="C756" s="57"/>
      <c r="D756" s="57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</row>
    <row r="757" ht="15.75" customHeight="1">
      <c r="A757" s="57"/>
      <c r="B757" s="57"/>
      <c r="C757" s="57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</row>
    <row r="758" ht="15.75" customHeight="1">
      <c r="A758" s="57"/>
      <c r="B758" s="57"/>
      <c r="C758" s="57"/>
      <c r="D758" s="57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</row>
    <row r="759" ht="15.75" customHeight="1">
      <c r="A759" s="57"/>
      <c r="B759" s="57"/>
      <c r="C759" s="57"/>
      <c r="D759" s="57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</row>
    <row r="760" ht="15.75" customHeight="1">
      <c r="A760" s="57"/>
      <c r="B760" s="57"/>
      <c r="C760" s="57"/>
      <c r="D760" s="57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</row>
    <row r="761" ht="15.75" customHeight="1">
      <c r="A761" s="57"/>
      <c r="B761" s="57"/>
      <c r="C761" s="57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</row>
    <row r="762" ht="15.75" customHeight="1">
      <c r="A762" s="57"/>
      <c r="B762" s="57"/>
      <c r="C762" s="57"/>
      <c r="D762" s="57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</row>
    <row r="763" ht="15.75" customHeight="1">
      <c r="A763" s="57"/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</row>
    <row r="764" ht="15.75" customHeight="1">
      <c r="A764" s="57"/>
      <c r="B764" s="57"/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</row>
    <row r="765" ht="15.75" customHeight="1">
      <c r="A765" s="57"/>
      <c r="B765" s="57"/>
      <c r="C765" s="57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</row>
    <row r="766" ht="15.75" customHeight="1">
      <c r="A766" s="57"/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</row>
    <row r="767" ht="15.75" customHeight="1">
      <c r="A767" s="57"/>
      <c r="B767" s="57"/>
      <c r="C767" s="57"/>
      <c r="D767" s="57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</row>
    <row r="768" ht="15.75" customHeight="1">
      <c r="A768" s="57"/>
      <c r="B768" s="57"/>
      <c r="C768" s="57"/>
      <c r="D768" s="57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</row>
    <row r="769" ht="15.75" customHeight="1">
      <c r="A769" s="57"/>
      <c r="B769" s="57"/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</row>
    <row r="770" ht="15.75" customHeight="1">
      <c r="A770" s="57"/>
      <c r="B770" s="57"/>
      <c r="C770" s="57"/>
      <c r="D770" s="57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</row>
    <row r="771" ht="15.75" customHeight="1">
      <c r="A771" s="57"/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</row>
    <row r="772" ht="15.75" customHeight="1">
      <c r="A772" s="57"/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</row>
    <row r="773" ht="15.75" customHeight="1">
      <c r="A773" s="57"/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</row>
    <row r="774" ht="15.75" customHeight="1">
      <c r="A774" s="57"/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</row>
    <row r="775" ht="15.75" customHeight="1">
      <c r="A775" s="57"/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</row>
    <row r="776" ht="15.75" customHeight="1">
      <c r="A776" s="57"/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</row>
    <row r="777" ht="15.75" customHeight="1">
      <c r="A777" s="57"/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</row>
    <row r="778" ht="15.75" customHeight="1">
      <c r="A778" s="57"/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</row>
    <row r="779" ht="15.75" customHeight="1">
      <c r="A779" s="57"/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</row>
    <row r="780" ht="15.75" customHeight="1">
      <c r="A780" s="57"/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</row>
    <row r="781" ht="15.75" customHeight="1">
      <c r="A781" s="57"/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</row>
    <row r="782" ht="15.75" customHeight="1">
      <c r="A782" s="57"/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</row>
    <row r="783" ht="15.75" customHeight="1">
      <c r="A783" s="57"/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</row>
    <row r="784" ht="15.75" customHeight="1">
      <c r="A784" s="57"/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</row>
    <row r="785" ht="15.75" customHeight="1">
      <c r="A785" s="57"/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</row>
    <row r="786" ht="15.75" customHeight="1">
      <c r="A786" s="57"/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</row>
    <row r="787" ht="15.75" customHeight="1">
      <c r="A787" s="57"/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</row>
    <row r="788" ht="15.75" customHeight="1">
      <c r="A788" s="57"/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</row>
    <row r="789" ht="15.75" customHeight="1">
      <c r="A789" s="57"/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</row>
    <row r="790" ht="15.75" customHeight="1">
      <c r="A790" s="57"/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</row>
    <row r="791" ht="15.75" customHeight="1">
      <c r="A791" s="57"/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</row>
    <row r="792" ht="15.75" customHeight="1">
      <c r="A792" s="57"/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</row>
    <row r="793" ht="15.75" customHeight="1">
      <c r="A793" s="57"/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</row>
    <row r="794" ht="15.75" customHeight="1">
      <c r="A794" s="57"/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</row>
    <row r="795" ht="15.75" customHeight="1">
      <c r="A795" s="57"/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</row>
    <row r="796" ht="15.75" customHeight="1">
      <c r="A796" s="57"/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</row>
    <row r="797" ht="15.75" customHeight="1">
      <c r="A797" s="57"/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</row>
    <row r="798" ht="15.75" customHeight="1">
      <c r="A798" s="57"/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</row>
    <row r="799" ht="15.75" customHeight="1">
      <c r="A799" s="57"/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</row>
    <row r="800" ht="15.75" customHeight="1">
      <c r="A800" s="57"/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</row>
    <row r="801" ht="15.75" customHeight="1">
      <c r="A801" s="57"/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</row>
    <row r="802" ht="15.75" customHeight="1">
      <c r="A802" s="57"/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</row>
    <row r="803" ht="15.75" customHeight="1">
      <c r="A803" s="57"/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</row>
    <row r="804" ht="15.75" customHeight="1">
      <c r="A804" s="57"/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</row>
    <row r="805" ht="15.75" customHeight="1">
      <c r="A805" s="57"/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</row>
    <row r="806" ht="15.75" customHeight="1">
      <c r="A806" s="57"/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</row>
    <row r="807" ht="15.75" customHeight="1">
      <c r="A807" s="57"/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</row>
    <row r="808" ht="15.75" customHeight="1">
      <c r="A808" s="57"/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</row>
    <row r="809" ht="15.75" customHeight="1">
      <c r="A809" s="57"/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</row>
    <row r="810" ht="15.75" customHeight="1">
      <c r="A810" s="57"/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</row>
    <row r="811" ht="15.75" customHeight="1">
      <c r="A811" s="57"/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</row>
    <row r="812" ht="15.75" customHeight="1">
      <c r="A812" s="57"/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</row>
    <row r="813" ht="15.75" customHeight="1">
      <c r="A813" s="57"/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</row>
    <row r="814" ht="15.75" customHeight="1">
      <c r="A814" s="57"/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</row>
    <row r="815" ht="15.75" customHeight="1">
      <c r="A815" s="57"/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</row>
    <row r="816" ht="15.75" customHeight="1">
      <c r="A816" s="57"/>
      <c r="B816" s="57"/>
      <c r="C816" s="57"/>
      <c r="D816" s="57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</row>
    <row r="817" ht="15.75" customHeight="1">
      <c r="A817" s="57"/>
      <c r="B817" s="57"/>
      <c r="C817" s="57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</row>
    <row r="818" ht="15.75" customHeight="1">
      <c r="A818" s="57"/>
      <c r="B818" s="57"/>
      <c r="C818" s="57"/>
      <c r="D818" s="57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</row>
    <row r="819" ht="15.75" customHeight="1">
      <c r="A819" s="57"/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</row>
    <row r="820" ht="15.75" customHeight="1">
      <c r="A820" s="57"/>
      <c r="B820" s="57"/>
      <c r="C820" s="57"/>
      <c r="D820" s="57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</row>
    <row r="821" ht="15.75" customHeight="1">
      <c r="A821" s="57"/>
      <c r="B821" s="57"/>
      <c r="C821" s="57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</row>
    <row r="822" ht="15.75" customHeight="1">
      <c r="A822" s="57"/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</row>
    <row r="823" ht="15.75" customHeight="1">
      <c r="A823" s="57"/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</row>
    <row r="824" ht="15.75" customHeight="1">
      <c r="A824" s="57"/>
      <c r="B824" s="57"/>
      <c r="C824" s="57"/>
      <c r="D824" s="57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</row>
    <row r="825" ht="15.75" customHeight="1">
      <c r="A825" s="57"/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</row>
    <row r="826" ht="15.75" customHeight="1">
      <c r="A826" s="57"/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</row>
    <row r="827" ht="15.75" customHeight="1">
      <c r="A827" s="57"/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</row>
    <row r="828" ht="15.75" customHeight="1">
      <c r="A828" s="57"/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</row>
    <row r="829" ht="15.75" customHeight="1">
      <c r="A829" s="57"/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</row>
    <row r="830" ht="15.75" customHeight="1">
      <c r="A830" s="57"/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</row>
    <row r="831" ht="15.75" customHeight="1">
      <c r="A831" s="57"/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</row>
    <row r="832" ht="15.75" customHeight="1">
      <c r="A832" s="57"/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</row>
    <row r="833" ht="15.75" customHeight="1">
      <c r="A833" s="57"/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</row>
    <row r="834" ht="15.75" customHeight="1">
      <c r="A834" s="57"/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</row>
    <row r="835" ht="15.75" customHeight="1">
      <c r="A835" s="57"/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</row>
    <row r="836" ht="15.75" customHeight="1">
      <c r="A836" s="57"/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</row>
    <row r="837" ht="15.75" customHeight="1">
      <c r="A837" s="57"/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</row>
    <row r="838" ht="15.75" customHeight="1">
      <c r="A838" s="57"/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</row>
    <row r="839" ht="15.75" customHeight="1">
      <c r="A839" s="57"/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</row>
    <row r="840" ht="15.75" customHeight="1">
      <c r="A840" s="57"/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</row>
    <row r="841" ht="15.75" customHeight="1">
      <c r="A841" s="57"/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</row>
    <row r="842" ht="15.75" customHeight="1">
      <c r="A842" s="57"/>
      <c r="B842" s="57"/>
      <c r="C842" s="57"/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</row>
    <row r="843" ht="15.75" customHeight="1">
      <c r="A843" s="57"/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</row>
    <row r="844" ht="15.75" customHeight="1">
      <c r="A844" s="57"/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</row>
    <row r="845" ht="15.75" customHeight="1">
      <c r="A845" s="57"/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</row>
    <row r="846" ht="15.75" customHeight="1">
      <c r="A846" s="57"/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</row>
    <row r="847" ht="15.75" customHeight="1">
      <c r="A847" s="57"/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</row>
    <row r="848" ht="15.75" customHeight="1">
      <c r="A848" s="57"/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</row>
    <row r="849" ht="15.75" customHeight="1">
      <c r="A849" s="57"/>
      <c r="B849" s="57"/>
      <c r="C849" s="57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</row>
    <row r="850" ht="15.75" customHeight="1">
      <c r="A850" s="57"/>
      <c r="B850" s="57"/>
      <c r="C850" s="57"/>
      <c r="D850" s="57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</row>
    <row r="851" ht="15.75" customHeight="1">
      <c r="A851" s="57"/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</row>
    <row r="852" ht="15.75" customHeight="1">
      <c r="A852" s="57"/>
      <c r="B852" s="57"/>
      <c r="C852" s="57"/>
      <c r="D852" s="57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</row>
    <row r="853" ht="15.75" customHeight="1">
      <c r="A853" s="57"/>
      <c r="B853" s="57"/>
      <c r="C853" s="57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</row>
    <row r="854" ht="15.75" customHeight="1">
      <c r="A854" s="57"/>
      <c r="B854" s="57"/>
      <c r="C854" s="57"/>
      <c r="D854" s="57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</row>
    <row r="855" ht="15.75" customHeight="1">
      <c r="A855" s="57"/>
      <c r="B855" s="57"/>
      <c r="C855" s="57"/>
      <c r="D855" s="57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</row>
    <row r="856" ht="15.75" customHeight="1">
      <c r="A856" s="57"/>
      <c r="B856" s="57"/>
      <c r="C856" s="57"/>
      <c r="D856" s="57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</row>
    <row r="857" ht="15.75" customHeight="1">
      <c r="A857" s="57"/>
      <c r="B857" s="57"/>
      <c r="C857" s="57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</row>
    <row r="858" ht="15.75" customHeight="1">
      <c r="A858" s="57"/>
      <c r="B858" s="57"/>
      <c r="C858" s="57"/>
      <c r="D858" s="57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</row>
    <row r="859" ht="15.75" customHeight="1">
      <c r="A859" s="57"/>
      <c r="B859" s="57"/>
      <c r="C859" s="57"/>
      <c r="D859" s="57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</row>
    <row r="860" ht="15.75" customHeight="1">
      <c r="A860" s="57"/>
      <c r="B860" s="57"/>
      <c r="C860" s="57"/>
      <c r="D860" s="57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</row>
    <row r="861" ht="15.75" customHeight="1">
      <c r="A861" s="57"/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</row>
    <row r="862" ht="15.75" customHeight="1">
      <c r="A862" s="57"/>
      <c r="B862" s="57"/>
      <c r="C862" s="57"/>
      <c r="D862" s="57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</row>
    <row r="863" ht="15.75" customHeight="1">
      <c r="A863" s="57"/>
      <c r="B863" s="57"/>
      <c r="C863" s="57"/>
      <c r="D863" s="57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</row>
    <row r="864" ht="15.75" customHeight="1">
      <c r="A864" s="57"/>
      <c r="B864" s="57"/>
      <c r="C864" s="57"/>
      <c r="D864" s="57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</row>
    <row r="865" ht="15.75" customHeight="1">
      <c r="A865" s="57"/>
      <c r="B865" s="57"/>
      <c r="C865" s="57"/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</row>
    <row r="866" ht="15.75" customHeight="1">
      <c r="A866" s="57"/>
      <c r="B866" s="57"/>
      <c r="C866" s="57"/>
      <c r="D866" s="57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</row>
    <row r="867" ht="15.75" customHeight="1">
      <c r="A867" s="57"/>
      <c r="B867" s="57"/>
      <c r="C867" s="57"/>
      <c r="D867" s="57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</row>
    <row r="868" ht="15.75" customHeight="1">
      <c r="A868" s="57"/>
      <c r="B868" s="57"/>
      <c r="C868" s="57"/>
      <c r="D868" s="57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</row>
    <row r="869" ht="15.75" customHeight="1">
      <c r="A869" s="57"/>
      <c r="B869" s="57"/>
      <c r="C869" s="57"/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</row>
    <row r="870" ht="15.75" customHeight="1">
      <c r="A870" s="57"/>
      <c r="B870" s="57"/>
      <c r="C870" s="57"/>
      <c r="D870" s="57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</row>
    <row r="871" ht="15.75" customHeight="1">
      <c r="A871" s="57"/>
      <c r="B871" s="57"/>
      <c r="C871" s="57"/>
      <c r="D871" s="57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</row>
    <row r="872" ht="15.75" customHeight="1">
      <c r="A872" s="57"/>
      <c r="B872" s="57"/>
      <c r="C872" s="57"/>
      <c r="D872" s="57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</row>
    <row r="873" ht="15.75" customHeight="1">
      <c r="A873" s="57"/>
      <c r="B873" s="57"/>
      <c r="C873" s="57"/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</row>
    <row r="874" ht="15.75" customHeight="1">
      <c r="A874" s="57"/>
      <c r="B874" s="57"/>
      <c r="C874" s="57"/>
      <c r="D874" s="57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</row>
    <row r="875" ht="15.75" customHeight="1">
      <c r="A875" s="57"/>
      <c r="B875" s="57"/>
      <c r="C875" s="57"/>
      <c r="D875" s="57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</row>
    <row r="876" ht="15.75" customHeight="1">
      <c r="A876" s="57"/>
      <c r="B876" s="57"/>
      <c r="C876" s="57"/>
      <c r="D876" s="57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</row>
    <row r="877" ht="15.75" customHeight="1">
      <c r="A877" s="57"/>
      <c r="B877" s="57"/>
      <c r="C877" s="57"/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</row>
    <row r="878" ht="15.75" customHeight="1">
      <c r="A878" s="57"/>
      <c r="B878" s="57"/>
      <c r="C878" s="57"/>
      <c r="D878" s="57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</row>
    <row r="879" ht="15.75" customHeight="1">
      <c r="A879" s="57"/>
      <c r="B879" s="57"/>
      <c r="C879" s="57"/>
      <c r="D879" s="57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</row>
    <row r="880" ht="15.75" customHeight="1">
      <c r="A880" s="57"/>
      <c r="B880" s="57"/>
      <c r="C880" s="57"/>
      <c r="D880" s="57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</row>
    <row r="881" ht="15.75" customHeight="1">
      <c r="A881" s="57"/>
      <c r="B881" s="57"/>
      <c r="C881" s="57"/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</row>
    <row r="882" ht="15.75" customHeight="1">
      <c r="A882" s="57"/>
      <c r="B882" s="57"/>
      <c r="C882" s="57"/>
      <c r="D882" s="57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</row>
    <row r="883" ht="15.75" customHeight="1">
      <c r="A883" s="57"/>
      <c r="B883" s="57"/>
      <c r="C883" s="57"/>
      <c r="D883" s="57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</row>
    <row r="884" ht="15.75" customHeight="1">
      <c r="A884" s="57"/>
      <c r="B884" s="57"/>
      <c r="C884" s="57"/>
      <c r="D884" s="57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</row>
    <row r="885" ht="15.75" customHeight="1">
      <c r="A885" s="57"/>
      <c r="B885" s="57"/>
      <c r="C885" s="57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</row>
    <row r="886" ht="15.75" customHeight="1">
      <c r="A886" s="57"/>
      <c r="B886" s="57"/>
      <c r="C886" s="57"/>
      <c r="D886" s="57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</row>
    <row r="887" ht="15.75" customHeight="1">
      <c r="A887" s="57"/>
      <c r="B887" s="57"/>
      <c r="C887" s="57"/>
      <c r="D887" s="57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</row>
    <row r="888" ht="15.75" customHeight="1">
      <c r="A888" s="57"/>
      <c r="B888" s="57"/>
      <c r="C888" s="57"/>
      <c r="D888" s="57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</row>
    <row r="889" ht="15.75" customHeight="1">
      <c r="A889" s="57"/>
      <c r="B889" s="57"/>
      <c r="C889" s="57"/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</row>
    <row r="890" ht="15.75" customHeight="1">
      <c r="A890" s="57"/>
      <c r="B890" s="57"/>
      <c r="C890" s="57"/>
      <c r="D890" s="57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</row>
    <row r="891" ht="15.75" customHeight="1">
      <c r="A891" s="57"/>
      <c r="B891" s="57"/>
      <c r="C891" s="57"/>
      <c r="D891" s="57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</row>
    <row r="892" ht="15.75" customHeight="1">
      <c r="A892" s="57"/>
      <c r="B892" s="57"/>
      <c r="C892" s="57"/>
      <c r="D892" s="57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</row>
    <row r="893" ht="15.75" customHeight="1">
      <c r="A893" s="57"/>
      <c r="B893" s="57"/>
      <c r="C893" s="57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</row>
    <row r="894" ht="15.75" customHeight="1">
      <c r="A894" s="57"/>
      <c r="B894" s="57"/>
      <c r="C894" s="57"/>
      <c r="D894" s="57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</row>
    <row r="895" ht="15.75" customHeight="1">
      <c r="A895" s="57"/>
      <c r="B895" s="57"/>
      <c r="C895" s="57"/>
      <c r="D895" s="57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</row>
    <row r="896" ht="15.75" customHeight="1">
      <c r="A896" s="57"/>
      <c r="B896" s="57"/>
      <c r="C896" s="57"/>
      <c r="D896" s="57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</row>
    <row r="897" ht="15.75" customHeight="1">
      <c r="A897" s="57"/>
      <c r="B897" s="57"/>
      <c r="C897" s="57"/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</row>
    <row r="898" ht="15.75" customHeight="1">
      <c r="A898" s="57"/>
      <c r="B898" s="57"/>
      <c r="C898" s="57"/>
      <c r="D898" s="57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</row>
    <row r="899" ht="15.75" customHeight="1">
      <c r="A899" s="57"/>
      <c r="B899" s="57"/>
      <c r="C899" s="57"/>
      <c r="D899" s="57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</row>
    <row r="900" ht="15.75" customHeight="1">
      <c r="A900" s="57"/>
      <c r="B900" s="57"/>
      <c r="C900" s="57"/>
      <c r="D900" s="57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</row>
    <row r="901" ht="15.75" customHeight="1">
      <c r="A901" s="57"/>
      <c r="B901" s="57"/>
      <c r="C901" s="57"/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</row>
    <row r="902" ht="15.75" customHeight="1">
      <c r="A902" s="57"/>
      <c r="B902" s="57"/>
      <c r="C902" s="57"/>
      <c r="D902" s="57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</row>
    <row r="903" ht="15.75" customHeight="1">
      <c r="A903" s="57"/>
      <c r="B903" s="57"/>
      <c r="C903" s="57"/>
      <c r="D903" s="57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</row>
    <row r="904" ht="15.75" customHeight="1">
      <c r="A904" s="57"/>
      <c r="B904" s="57"/>
      <c r="C904" s="57"/>
      <c r="D904" s="57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</row>
    <row r="905" ht="15.75" customHeight="1">
      <c r="A905" s="57"/>
      <c r="B905" s="57"/>
      <c r="C905" s="57"/>
      <c r="D905" s="57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</row>
    <row r="906" ht="15.75" customHeight="1">
      <c r="A906" s="57"/>
      <c r="B906" s="57"/>
      <c r="C906" s="57"/>
      <c r="D906" s="57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</row>
    <row r="907" ht="15.75" customHeight="1">
      <c r="A907" s="57"/>
      <c r="B907" s="57"/>
      <c r="C907" s="57"/>
      <c r="D907" s="57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</row>
    <row r="908" ht="15.75" customHeight="1">
      <c r="A908" s="57"/>
      <c r="B908" s="57"/>
      <c r="C908" s="57"/>
      <c r="D908" s="57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</row>
    <row r="909" ht="15.75" customHeight="1">
      <c r="A909" s="57"/>
      <c r="B909" s="57"/>
      <c r="C909" s="57"/>
      <c r="D909" s="57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</row>
    <row r="910" ht="15.75" customHeight="1">
      <c r="A910" s="57"/>
      <c r="B910" s="57"/>
      <c r="C910" s="57"/>
      <c r="D910" s="57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</row>
    <row r="911" ht="15.75" customHeight="1">
      <c r="A911" s="57"/>
      <c r="B911" s="57"/>
      <c r="C911" s="57"/>
      <c r="D911" s="57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</row>
    <row r="912" ht="15.75" customHeight="1">
      <c r="A912" s="57"/>
      <c r="B912" s="57"/>
      <c r="C912" s="57"/>
      <c r="D912" s="57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</row>
    <row r="913" ht="15.75" customHeight="1">
      <c r="A913" s="57"/>
      <c r="B913" s="57"/>
      <c r="C913" s="57"/>
      <c r="D913" s="57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</row>
    <row r="914" ht="15.75" customHeight="1">
      <c r="A914" s="57"/>
      <c r="B914" s="57"/>
      <c r="C914" s="57"/>
      <c r="D914" s="57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</row>
    <row r="915" ht="15.75" customHeight="1">
      <c r="A915" s="57"/>
      <c r="B915" s="57"/>
      <c r="C915" s="57"/>
      <c r="D915" s="57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</row>
    <row r="916" ht="15.75" customHeight="1">
      <c r="A916" s="57"/>
      <c r="B916" s="57"/>
      <c r="C916" s="57"/>
      <c r="D916" s="57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</row>
    <row r="917" ht="15.75" customHeight="1">
      <c r="A917" s="57"/>
      <c r="B917" s="57"/>
      <c r="C917" s="57"/>
      <c r="D917" s="57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</row>
    <row r="918" ht="15.75" customHeight="1">
      <c r="A918" s="57"/>
      <c r="B918" s="57"/>
      <c r="C918" s="57"/>
      <c r="D918" s="57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</row>
    <row r="919" ht="15.75" customHeight="1">
      <c r="A919" s="57"/>
      <c r="B919" s="57"/>
      <c r="C919" s="57"/>
      <c r="D919" s="57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</row>
    <row r="920" ht="15.75" customHeight="1">
      <c r="A920" s="57"/>
      <c r="B920" s="57"/>
      <c r="C920" s="57"/>
      <c r="D920" s="57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</row>
    <row r="921" ht="15.75" customHeight="1">
      <c r="A921" s="57"/>
      <c r="B921" s="57"/>
      <c r="C921" s="57"/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</row>
    <row r="922" ht="15.75" customHeight="1">
      <c r="A922" s="57"/>
      <c r="B922" s="57"/>
      <c r="C922" s="57"/>
      <c r="D922" s="57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</row>
    <row r="923" ht="15.75" customHeight="1">
      <c r="A923" s="57"/>
      <c r="B923" s="57"/>
      <c r="C923" s="57"/>
      <c r="D923" s="57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</row>
    <row r="924" ht="15.75" customHeight="1">
      <c r="A924" s="57"/>
      <c r="B924" s="57"/>
      <c r="C924" s="57"/>
      <c r="D924" s="57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</row>
    <row r="925" ht="15.75" customHeight="1">
      <c r="A925" s="57"/>
      <c r="B925" s="57"/>
      <c r="C925" s="57"/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</row>
    <row r="926" ht="15.75" customHeight="1">
      <c r="A926" s="57"/>
      <c r="B926" s="57"/>
      <c r="C926" s="57"/>
      <c r="D926" s="57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</row>
    <row r="927" ht="15.75" customHeight="1">
      <c r="A927" s="57"/>
      <c r="B927" s="57"/>
      <c r="C927" s="57"/>
      <c r="D927" s="57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</row>
    <row r="928" ht="15.75" customHeight="1">
      <c r="A928" s="57"/>
      <c r="B928" s="57"/>
      <c r="C928" s="57"/>
      <c r="D928" s="57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</row>
    <row r="929" ht="15.75" customHeight="1">
      <c r="A929" s="57"/>
      <c r="B929" s="57"/>
      <c r="C929" s="57"/>
      <c r="D929" s="57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</row>
    <row r="930" ht="15.75" customHeight="1">
      <c r="A930" s="57"/>
      <c r="B930" s="57"/>
      <c r="C930" s="57"/>
      <c r="D930" s="57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</row>
    <row r="931" ht="15.75" customHeight="1">
      <c r="A931" s="57"/>
      <c r="B931" s="57"/>
      <c r="C931" s="57"/>
      <c r="D931" s="57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</row>
    <row r="932" ht="15.75" customHeight="1">
      <c r="A932" s="57"/>
      <c r="B932" s="57"/>
      <c r="C932" s="57"/>
      <c r="D932" s="57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</row>
    <row r="933" ht="15.75" customHeight="1">
      <c r="A933" s="57"/>
      <c r="B933" s="57"/>
      <c r="C933" s="57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</row>
    <row r="934" ht="15.75" customHeight="1">
      <c r="A934" s="57"/>
      <c r="B934" s="57"/>
      <c r="C934" s="57"/>
      <c r="D934" s="57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</row>
    <row r="935" ht="15.75" customHeight="1">
      <c r="A935" s="57"/>
      <c r="B935" s="57"/>
      <c r="C935" s="57"/>
      <c r="D935" s="57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</row>
    <row r="936" ht="15.75" customHeight="1">
      <c r="A936" s="57"/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</row>
    <row r="937" ht="15.75" customHeight="1">
      <c r="A937" s="57"/>
      <c r="B937" s="57"/>
      <c r="C937" s="57"/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</row>
    <row r="938" ht="15.75" customHeight="1">
      <c r="A938" s="57"/>
      <c r="B938" s="57"/>
      <c r="C938" s="57"/>
      <c r="D938" s="57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</row>
    <row r="939" ht="15.75" customHeight="1">
      <c r="A939" s="57"/>
      <c r="B939" s="57"/>
      <c r="C939" s="57"/>
      <c r="D939" s="57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</row>
    <row r="940" ht="15.75" customHeight="1">
      <c r="A940" s="57"/>
      <c r="B940" s="57"/>
      <c r="C940" s="57"/>
      <c r="D940" s="57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</row>
    <row r="941" ht="15.75" customHeight="1">
      <c r="A941" s="57"/>
      <c r="B941" s="57"/>
      <c r="C941" s="57"/>
      <c r="D941" s="57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</row>
    <row r="942" ht="15.75" customHeight="1">
      <c r="A942" s="57"/>
      <c r="B942" s="57"/>
      <c r="C942" s="57"/>
      <c r="D942" s="57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</row>
    <row r="943" ht="15.75" customHeight="1">
      <c r="A943" s="57"/>
      <c r="B943" s="57"/>
      <c r="C943" s="57"/>
      <c r="D943" s="57"/>
      <c r="E943" s="57"/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</row>
    <row r="944" ht="15.75" customHeight="1">
      <c r="A944" s="57"/>
      <c r="B944" s="57"/>
      <c r="C944" s="57"/>
      <c r="D944" s="57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</row>
    <row r="945" ht="15.75" customHeight="1">
      <c r="A945" s="57"/>
      <c r="B945" s="57"/>
      <c r="C945" s="57"/>
      <c r="D945" s="57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</row>
    <row r="946" ht="15.75" customHeight="1">
      <c r="A946" s="57"/>
      <c r="B946" s="57"/>
      <c r="C946" s="57"/>
      <c r="D946" s="57"/>
      <c r="E946" s="57"/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</row>
    <row r="947" ht="15.75" customHeight="1">
      <c r="A947" s="57"/>
      <c r="B947" s="57"/>
      <c r="C947" s="57"/>
      <c r="D947" s="57"/>
      <c r="E947" s="57"/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</row>
    <row r="948" ht="15.75" customHeight="1">
      <c r="A948" s="57"/>
      <c r="B948" s="57"/>
      <c r="C948" s="57"/>
      <c r="D948" s="57"/>
      <c r="E948" s="57"/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</row>
    <row r="949" ht="15.75" customHeight="1">
      <c r="A949" s="57"/>
      <c r="B949" s="57"/>
      <c r="C949" s="57"/>
      <c r="D949" s="57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</row>
    <row r="950" ht="15.75" customHeight="1">
      <c r="A950" s="57"/>
      <c r="B950" s="57"/>
      <c r="C950" s="57"/>
      <c r="D950" s="57"/>
      <c r="E950" s="57"/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</row>
    <row r="951" ht="15.75" customHeight="1">
      <c r="A951" s="57"/>
      <c r="B951" s="57"/>
      <c r="C951" s="57"/>
      <c r="D951" s="57"/>
      <c r="E951" s="57"/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</row>
    <row r="952" ht="15.75" customHeight="1">
      <c r="A952" s="57"/>
      <c r="B952" s="57"/>
      <c r="C952" s="57"/>
      <c r="D952" s="57"/>
      <c r="E952" s="57"/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</row>
    <row r="953" ht="15.75" customHeight="1">
      <c r="A953" s="57"/>
      <c r="B953" s="57"/>
      <c r="C953" s="57"/>
      <c r="D953" s="57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</row>
    <row r="954" ht="15.75" customHeight="1">
      <c r="A954" s="57"/>
      <c r="B954" s="57"/>
      <c r="C954" s="57"/>
      <c r="D954" s="57"/>
      <c r="E954" s="57"/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</row>
    <row r="955" ht="15.75" customHeight="1">
      <c r="A955" s="57"/>
      <c r="B955" s="57"/>
      <c r="C955" s="57"/>
      <c r="D955" s="57"/>
      <c r="E955" s="57"/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</row>
    <row r="956" ht="15.75" customHeight="1">
      <c r="A956" s="57"/>
      <c r="B956" s="57"/>
      <c r="C956" s="57"/>
      <c r="D956" s="57"/>
      <c r="E956" s="57"/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</row>
    <row r="957" ht="15.75" customHeight="1">
      <c r="A957" s="57"/>
      <c r="B957" s="57"/>
      <c r="C957" s="57"/>
      <c r="D957" s="57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</row>
    <row r="958" ht="15.75" customHeight="1">
      <c r="A958" s="57"/>
      <c r="B958" s="57"/>
      <c r="C958" s="57"/>
      <c r="D958" s="57"/>
      <c r="E958" s="57"/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</row>
    <row r="959" ht="15.75" customHeight="1">
      <c r="A959" s="57"/>
      <c r="B959" s="57"/>
      <c r="C959" s="57"/>
      <c r="D959" s="57"/>
      <c r="E959" s="57"/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</row>
    <row r="960" ht="15.75" customHeight="1">
      <c r="A960" s="57"/>
      <c r="B960" s="57"/>
      <c r="C960" s="57"/>
      <c r="D960" s="57"/>
      <c r="E960" s="57"/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</row>
    <row r="961" ht="15.75" customHeight="1">
      <c r="A961" s="57"/>
      <c r="B961" s="57"/>
      <c r="C961" s="57"/>
      <c r="D961" s="57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</row>
    <row r="962" ht="15.75" customHeight="1">
      <c r="A962" s="57"/>
      <c r="B962" s="57"/>
      <c r="C962" s="57"/>
      <c r="D962" s="57"/>
      <c r="E962" s="57"/>
      <c r="F962" s="57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</row>
    <row r="963" ht="15.75" customHeight="1">
      <c r="A963" s="57"/>
      <c r="B963" s="57"/>
      <c r="C963" s="57"/>
      <c r="D963" s="57"/>
      <c r="E963" s="57"/>
      <c r="F963" s="57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</row>
    <row r="964" ht="15.75" customHeight="1">
      <c r="A964" s="57"/>
      <c r="B964" s="57"/>
      <c r="C964" s="57"/>
      <c r="D964" s="57"/>
      <c r="E964" s="57"/>
      <c r="F964" s="57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</row>
    <row r="965" ht="15.75" customHeight="1">
      <c r="A965" s="57"/>
      <c r="B965" s="57"/>
      <c r="C965" s="57"/>
      <c r="D965" s="57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</row>
    <row r="966" ht="15.75" customHeight="1">
      <c r="A966" s="57"/>
      <c r="B966" s="57"/>
      <c r="C966" s="57"/>
      <c r="D966" s="57"/>
      <c r="E966" s="57"/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</row>
    <row r="967" ht="15.75" customHeight="1">
      <c r="A967" s="57"/>
      <c r="B967" s="57"/>
      <c r="C967" s="57"/>
      <c r="D967" s="57"/>
      <c r="E967" s="57"/>
      <c r="F967" s="57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</row>
    <row r="968" ht="15.75" customHeight="1">
      <c r="A968" s="57"/>
      <c r="B968" s="57"/>
      <c r="C968" s="57"/>
      <c r="D968" s="57"/>
      <c r="E968" s="57"/>
      <c r="F968" s="57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</row>
    <row r="969" ht="15.75" customHeight="1">
      <c r="A969" s="57"/>
      <c r="B969" s="57"/>
      <c r="C969" s="57"/>
      <c r="D969" s="57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</row>
    <row r="970" ht="15.75" customHeight="1">
      <c r="A970" s="57"/>
      <c r="B970" s="57"/>
      <c r="C970" s="57"/>
      <c r="D970" s="57"/>
      <c r="E970" s="57"/>
      <c r="F970" s="57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</row>
    <row r="971" ht="15.75" customHeight="1">
      <c r="A971" s="57"/>
      <c r="B971" s="57"/>
      <c r="C971" s="57"/>
      <c r="D971" s="57"/>
      <c r="E971" s="57"/>
      <c r="F971" s="57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</row>
    <row r="972" ht="15.75" customHeight="1">
      <c r="A972" s="57"/>
      <c r="B972" s="57"/>
      <c r="C972" s="57"/>
      <c r="D972" s="57"/>
      <c r="E972" s="57"/>
      <c r="F972" s="57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</row>
    <row r="973" ht="15.75" customHeight="1">
      <c r="A973" s="57"/>
      <c r="B973" s="57"/>
      <c r="C973" s="57"/>
      <c r="D973" s="57"/>
      <c r="E973" s="57"/>
      <c r="F973" s="57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</row>
    <row r="974" ht="15.75" customHeight="1">
      <c r="A974" s="57"/>
      <c r="B974" s="57"/>
      <c r="C974" s="57"/>
      <c r="D974" s="57"/>
      <c r="E974" s="57"/>
      <c r="F974" s="57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</row>
    <row r="975" ht="15.75" customHeight="1">
      <c r="A975" s="57"/>
      <c r="B975" s="57"/>
      <c r="C975" s="57"/>
      <c r="D975" s="57"/>
      <c r="E975" s="57"/>
      <c r="F975" s="57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</row>
    <row r="976" ht="15.75" customHeight="1">
      <c r="A976" s="57"/>
      <c r="B976" s="57"/>
      <c r="C976" s="57"/>
      <c r="D976" s="57"/>
      <c r="E976" s="57"/>
      <c r="F976" s="57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</row>
    <row r="977" ht="15.75" customHeight="1">
      <c r="A977" s="57"/>
      <c r="B977" s="57"/>
      <c r="C977" s="57"/>
      <c r="D977" s="57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</row>
    <row r="978" ht="15.75" customHeight="1">
      <c r="A978" s="57"/>
      <c r="B978" s="57"/>
      <c r="C978" s="57"/>
      <c r="D978" s="57"/>
      <c r="E978" s="57"/>
      <c r="F978" s="57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</row>
    <row r="979" ht="15.75" customHeight="1">
      <c r="A979" s="57"/>
      <c r="B979" s="57"/>
      <c r="C979" s="57"/>
      <c r="D979" s="57"/>
      <c r="E979" s="57"/>
      <c r="F979" s="57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</row>
    <row r="980" ht="15.75" customHeight="1">
      <c r="A980" s="57"/>
      <c r="B980" s="57"/>
      <c r="C980" s="57"/>
      <c r="D980" s="57"/>
      <c r="E980" s="57"/>
      <c r="F980" s="57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</row>
    <row r="981" ht="15.75" customHeight="1">
      <c r="A981" s="57"/>
      <c r="B981" s="57"/>
      <c r="C981" s="57"/>
      <c r="D981" s="57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</row>
    <row r="982" ht="15.75" customHeight="1">
      <c r="A982" s="57"/>
      <c r="B982" s="57"/>
      <c r="C982" s="57"/>
      <c r="D982" s="57"/>
      <c r="E982" s="57"/>
      <c r="F982" s="57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</row>
    <row r="983" ht="15.75" customHeight="1">
      <c r="A983" s="57"/>
      <c r="B983" s="57"/>
      <c r="C983" s="57"/>
      <c r="D983" s="57"/>
      <c r="E983" s="57"/>
      <c r="F983" s="57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</row>
    <row r="984" ht="15.75" customHeight="1">
      <c r="A984" s="57"/>
      <c r="B984" s="57"/>
      <c r="C984" s="57"/>
      <c r="D984" s="57"/>
      <c r="E984" s="57"/>
      <c r="F984" s="57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</row>
    <row r="985" ht="15.75" customHeight="1">
      <c r="A985" s="57"/>
      <c r="B985" s="57"/>
      <c r="C985" s="57"/>
      <c r="D985" s="57"/>
      <c r="E985" s="57"/>
      <c r="F985" s="57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</row>
    <row r="986" ht="15.75" customHeight="1">
      <c r="A986" s="57"/>
      <c r="B986" s="57"/>
      <c r="C986" s="57"/>
      <c r="D986" s="57"/>
      <c r="E986" s="57"/>
      <c r="F986" s="57"/>
      <c r="G986" s="57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</row>
    <row r="987" ht="15.75" customHeight="1">
      <c r="A987" s="57"/>
      <c r="B987" s="57"/>
      <c r="C987" s="57"/>
      <c r="D987" s="57"/>
      <c r="E987" s="57"/>
      <c r="F987" s="57"/>
      <c r="G987" s="57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</row>
    <row r="988" ht="15.75" customHeight="1">
      <c r="A988" s="57"/>
      <c r="B988" s="57"/>
      <c r="C988" s="57"/>
      <c r="D988" s="57"/>
      <c r="E988" s="57"/>
      <c r="F988" s="57"/>
      <c r="G988" s="57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</row>
    <row r="989" ht="15.75" customHeight="1">
      <c r="A989" s="57"/>
      <c r="B989" s="57"/>
      <c r="C989" s="57"/>
      <c r="D989" s="57"/>
      <c r="E989" s="57"/>
      <c r="F989" s="57"/>
      <c r="G989" s="57"/>
      <c r="H989" s="57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</row>
    <row r="990" ht="15.75" customHeight="1">
      <c r="A990" s="57"/>
      <c r="B990" s="57"/>
      <c r="C990" s="57"/>
      <c r="D990" s="57"/>
      <c r="E990" s="57"/>
      <c r="F990" s="57"/>
      <c r="G990" s="57"/>
      <c r="H990" s="57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</row>
    <row r="991" ht="15.75" customHeight="1">
      <c r="A991" s="57"/>
      <c r="B991" s="57"/>
      <c r="C991" s="57"/>
      <c r="D991" s="57"/>
      <c r="E991" s="57"/>
      <c r="F991" s="57"/>
      <c r="G991" s="57"/>
      <c r="H991" s="57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</row>
    <row r="992" ht="15.75" customHeight="1">
      <c r="A992" s="57"/>
      <c r="B992" s="57"/>
      <c r="C992" s="57"/>
      <c r="D992" s="57"/>
      <c r="E992" s="57"/>
      <c r="F992" s="57"/>
      <c r="G992" s="57"/>
      <c r="H992" s="57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</row>
    <row r="993" ht="15.75" customHeight="1">
      <c r="A993" s="57"/>
      <c r="B993" s="57"/>
      <c r="C993" s="57"/>
      <c r="D993" s="57"/>
      <c r="E993" s="57"/>
      <c r="F993" s="57"/>
      <c r="G993" s="57"/>
      <c r="H993" s="57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</row>
    <row r="994" ht="15.75" customHeight="1">
      <c r="A994" s="57"/>
      <c r="B994" s="57"/>
      <c r="C994" s="57"/>
      <c r="D994" s="57"/>
      <c r="E994" s="57"/>
      <c r="F994" s="57"/>
      <c r="G994" s="57"/>
      <c r="H994" s="57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</row>
    <row r="995" ht="15.75" customHeight="1">
      <c r="A995" s="57"/>
      <c r="B995" s="57"/>
      <c r="C995" s="57"/>
      <c r="D995" s="57"/>
      <c r="E995" s="57"/>
      <c r="F995" s="57"/>
      <c r="G995" s="57"/>
      <c r="H995" s="57"/>
      <c r="I995" s="57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  <c r="Z995" s="57"/>
    </row>
    <row r="996" ht="15.75" customHeight="1">
      <c r="A996" s="57"/>
      <c r="B996" s="57"/>
      <c r="C996" s="57"/>
      <c r="D996" s="57"/>
      <c r="E996" s="57"/>
      <c r="F996" s="57"/>
      <c r="G996" s="57"/>
      <c r="H996" s="57"/>
      <c r="I996" s="57"/>
      <c r="J996" s="57"/>
      <c r="K996" s="57"/>
      <c r="L996" s="57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  <c r="Z996" s="57"/>
    </row>
    <row r="997" ht="15.75" customHeight="1">
      <c r="A997" s="57"/>
      <c r="B997" s="57"/>
      <c r="C997" s="57"/>
      <c r="D997" s="57"/>
      <c r="E997" s="57"/>
      <c r="F997" s="57"/>
      <c r="G997" s="57"/>
      <c r="H997" s="57"/>
      <c r="I997" s="57"/>
      <c r="J997" s="57"/>
      <c r="K997" s="57"/>
      <c r="L997" s="57"/>
      <c r="M997" s="57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  <c r="Z997" s="57"/>
    </row>
    <row r="998" ht="15.75" customHeight="1">
      <c r="A998" s="57"/>
      <c r="B998" s="57"/>
      <c r="C998" s="57"/>
      <c r="D998" s="57"/>
      <c r="E998" s="57"/>
      <c r="F998" s="57"/>
      <c r="G998" s="57"/>
      <c r="H998" s="57"/>
      <c r="I998" s="57"/>
      <c r="J998" s="57"/>
      <c r="K998" s="57"/>
      <c r="L998" s="57"/>
      <c r="M998" s="57"/>
      <c r="N998" s="57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  <c r="Z998" s="57"/>
    </row>
    <row r="999" ht="15.75" customHeight="1">
      <c r="A999" s="57"/>
      <c r="B999" s="57"/>
      <c r="C999" s="57"/>
      <c r="D999" s="57"/>
      <c r="E999" s="57"/>
      <c r="F999" s="57"/>
      <c r="G999" s="57"/>
      <c r="H999" s="57"/>
      <c r="I999" s="57"/>
      <c r="J999" s="57"/>
      <c r="K999" s="57"/>
      <c r="L999" s="57"/>
      <c r="M999" s="57"/>
      <c r="N999" s="57"/>
      <c r="O999" s="57"/>
      <c r="P999" s="57"/>
      <c r="Q999" s="57"/>
      <c r="R999" s="57"/>
      <c r="S999" s="57"/>
      <c r="T999" s="57"/>
      <c r="U999" s="57"/>
      <c r="V999" s="57"/>
      <c r="W999" s="57"/>
      <c r="X999" s="57"/>
      <c r="Y999" s="57"/>
      <c r="Z999" s="57"/>
    </row>
    <row r="1000" ht="15.75" customHeight="1">
      <c r="A1000" s="57"/>
      <c r="B1000" s="57"/>
      <c r="C1000" s="57"/>
      <c r="D1000" s="57"/>
      <c r="E1000" s="57"/>
      <c r="F1000" s="57"/>
      <c r="G1000" s="57"/>
      <c r="H1000" s="57"/>
      <c r="I1000" s="57"/>
      <c r="J1000" s="57"/>
      <c r="K1000" s="57"/>
      <c r="L1000" s="57"/>
      <c r="M1000" s="57"/>
      <c r="N1000" s="57"/>
      <c r="O1000" s="57"/>
      <c r="P1000" s="57"/>
      <c r="Q1000" s="57"/>
      <c r="R1000" s="57"/>
      <c r="S1000" s="57"/>
      <c r="T1000" s="57"/>
      <c r="U1000" s="57"/>
      <c r="V1000" s="57"/>
      <c r="W1000" s="57"/>
      <c r="X1000" s="57"/>
      <c r="Y1000" s="57"/>
      <c r="Z1000" s="57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