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XJ7lLvG1oQ4KwqmUZaqxl/ckkezqlnmyj5q2+HGUHHM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<sst xmlns="http://schemas.openxmlformats.org/spreadsheetml/2006/main" count="32" uniqueCount="25">
  <si>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</si>
  <si>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</si>
  <si>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</si>
  <si>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</si>
  <si>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منيره ناصر عبدالله السعيد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</si>
  <si>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</si>
  <si>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</si>
  <si>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</si>
  <si>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</si>
  <si>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</si>
  <si>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</si>
  <si>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اللناس _ المجادله</t>
  </si>
  <si>
    <t>اسم المعلمة</t>
  </si>
  <si>
    <t>منى العيوني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</si>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</sst>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1.033717446E9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5" t="s">
        <v>11</v>
      </c>
      <c r="H5" s="11" t="s">
        <v>12</v>
      </c>
      <c r="I5" s="16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7" t="s">
        <v>10</v>
      </c>
      <c r="B7" s="18" t="s">
        <v>14</v>
      </c>
      <c r="C7" s="19"/>
      <c r="D7" s="19"/>
      <c r="E7" s="19"/>
      <c r="F7" s="19"/>
      <c r="G7" s="19"/>
      <c r="H7" s="19"/>
      <c r="I7" s="2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1"/>
      <c r="B8" s="22"/>
      <c r="C8" s="23"/>
      <c r="D8" s="23"/>
      <c r="E8" s="23"/>
      <c r="F8" s="23"/>
      <c r="G8" s="23"/>
      <c r="H8" s="23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5"/>
      <c r="B9" s="26" t="s">
        <v>15</v>
      </c>
      <c r="C9" s="27" t="s">
        <v>16</v>
      </c>
      <c r="D9" s="28" t="s">
        <v>17</v>
      </c>
      <c r="E9" s="28" t="s">
        <v>18</v>
      </c>
      <c r="F9" s="28" t="s">
        <v>19</v>
      </c>
      <c r="G9" s="28" t="s">
        <v>20</v>
      </c>
      <c r="H9" s="28" t="s">
        <v>21</v>
      </c>
      <c r="I9" s="29" t="s">
        <v>22</v>
      </c>
      <c r="J9" s="30" t="s">
        <v>16</v>
      </c>
      <c r="K9" s="31" t="s">
        <v>17</v>
      </c>
      <c r="L9" s="31" t="s">
        <v>18</v>
      </c>
      <c r="M9" s="31" t="s">
        <v>19</v>
      </c>
      <c r="N9" s="31" t="s">
        <v>20</v>
      </c>
      <c r="O9" s="31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2"/>
      <c r="B10" s="33"/>
      <c r="C10" s="34"/>
      <c r="D10" s="35"/>
      <c r="E10" s="35"/>
      <c r="F10" s="35"/>
      <c r="G10" s="35"/>
      <c r="H10" s="35"/>
      <c r="I10" s="36"/>
      <c r="J10" s="37"/>
      <c r="K10" s="38"/>
      <c r="L10" s="38"/>
      <c r="M10" s="38"/>
      <c r="N10" s="38"/>
      <c r="O10" s="38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2"/>
      <c r="B11" s="39">
        <v>1.0</v>
      </c>
      <c r="C11" s="40">
        <v>1.0</v>
      </c>
      <c r="D11" s="41">
        <v>1.0</v>
      </c>
      <c r="E11" s="41">
        <v>1.0</v>
      </c>
      <c r="F11" s="41">
        <v>1.0</v>
      </c>
      <c r="G11" s="41">
        <v>0.0</v>
      </c>
      <c r="H11" s="41">
        <v>0.0</v>
      </c>
      <c r="I11" s="42">
        <f t="shared" ref="I11:I20" si="2">IF(AND(COUNT(C11)&gt;0, COUNT(D11)&gt;0, COUNT(E11)&gt;0, COUNT(F11)&gt;0, COUNT(G11)&gt;0, COUNT(H11)&gt;0), 10 - SUM(J11:O11), "")</f>
        <v>8</v>
      </c>
      <c r="J11" s="43">
        <f t="shared" ref="J11:J20" si="3">IF(C11&gt;2, (C11-2) * 0.25, 0)</f>
        <v>0</v>
      </c>
      <c r="K11" s="44">
        <f t="shared" ref="K11:K20" si="4">IF(D11&gt;1, (D11-1) * 0.25, 0)</f>
        <v>0</v>
      </c>
      <c r="L11" s="44">
        <f t="shared" ref="L11:M11" si="1">E11</f>
        <v>1</v>
      </c>
      <c r="M11" s="44">
        <f t="shared" si="1"/>
        <v>1</v>
      </c>
      <c r="N11" s="44">
        <f t="shared" ref="N11:N20" si="6">G11*1.5</f>
        <v>0</v>
      </c>
      <c r="O11" s="44">
        <f t="shared" ref="O11:O20" si="7">H11*0.125</f>
        <v>0</v>
      </c>
      <c r="P11" s="45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2"/>
      <c r="B12" s="39">
        <v>2.0</v>
      </c>
      <c r="C12" s="40">
        <v>1.0</v>
      </c>
      <c r="D12" s="41">
        <v>3.0</v>
      </c>
      <c r="E12" s="41">
        <v>1.0</v>
      </c>
      <c r="F12" s="41">
        <v>1.0</v>
      </c>
      <c r="G12" s="41">
        <v>0.0</v>
      </c>
      <c r="H12" s="41">
        <v>0.0</v>
      </c>
      <c r="I12" s="42">
        <f t="shared" si="2"/>
        <v>7.5</v>
      </c>
      <c r="J12" s="43">
        <f t="shared" si="3"/>
        <v>0</v>
      </c>
      <c r="K12" s="44">
        <f t="shared" si="4"/>
        <v>0.5</v>
      </c>
      <c r="L12" s="44">
        <f t="shared" ref="L12:M12" si="5">E12</f>
        <v>1</v>
      </c>
      <c r="M12" s="44">
        <f t="shared" si="5"/>
        <v>1</v>
      </c>
      <c r="N12" s="44">
        <f t="shared" si="6"/>
        <v>0</v>
      </c>
      <c r="O12" s="44">
        <f t="shared" si="7"/>
        <v>0</v>
      </c>
      <c r="P12" s="45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2"/>
      <c r="B13" s="39">
        <v>3.0</v>
      </c>
      <c r="C13" s="40">
        <v>1.0</v>
      </c>
      <c r="D13" s="41">
        <v>1.0</v>
      </c>
      <c r="E13" s="41">
        <v>0.0</v>
      </c>
      <c r="F13" s="41">
        <v>1.0</v>
      </c>
      <c r="G13" s="41">
        <v>1.0</v>
      </c>
      <c r="H13" s="41">
        <v>0.0</v>
      </c>
      <c r="I13" s="42">
        <f t="shared" si="2"/>
        <v>7.5</v>
      </c>
      <c r="J13" s="43">
        <f t="shared" si="3"/>
        <v>0</v>
      </c>
      <c r="K13" s="44">
        <f t="shared" si="4"/>
        <v>0</v>
      </c>
      <c r="L13" s="44">
        <f t="shared" ref="L13:M13" si="8">E13</f>
        <v>0</v>
      </c>
      <c r="M13" s="44">
        <f t="shared" si="8"/>
        <v>1</v>
      </c>
      <c r="N13" s="44">
        <f t="shared" si="6"/>
        <v>1.5</v>
      </c>
      <c r="O13" s="44">
        <f t="shared" si="7"/>
        <v>0</v>
      </c>
      <c r="P13" s="45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2"/>
      <c r="B14" s="39">
        <v>4.0</v>
      </c>
      <c r="C14" s="46"/>
      <c r="D14" s="47"/>
      <c r="E14" s="47"/>
      <c r="F14" s="47"/>
      <c r="G14" s="47"/>
      <c r="H14" s="47"/>
      <c r="I14" s="42" t="str">
        <f t="shared" si="2"/>
        <v/>
      </c>
      <c r="J14" s="43">
        <f t="shared" si="3"/>
        <v>0</v>
      </c>
      <c r="K14" s="44">
        <f t="shared" si="4"/>
        <v>0</v>
      </c>
      <c r="L14" s="44" t="str">
        <f t="shared" ref="L14:M14" si="9">E14</f>
        <v/>
      </c>
      <c r="M14" s="44" t="str">
        <f t="shared" si="9"/>
        <v/>
      </c>
      <c r="N14" s="44">
        <f t="shared" si="6"/>
        <v>0</v>
      </c>
      <c r="O14" s="44">
        <f t="shared" si="7"/>
        <v>0</v>
      </c>
      <c r="P14" s="45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2"/>
      <c r="B15" s="39">
        <v>5.0</v>
      </c>
      <c r="C15" s="46"/>
      <c r="D15" s="47"/>
      <c r="E15" s="47"/>
      <c r="F15" s="47"/>
      <c r="G15" s="47"/>
      <c r="H15" s="47"/>
      <c r="I15" s="42" t="str">
        <f t="shared" si="2"/>
        <v/>
      </c>
      <c r="J15" s="43">
        <f t="shared" si="3"/>
        <v>0</v>
      </c>
      <c r="K15" s="44">
        <f t="shared" si="4"/>
        <v>0</v>
      </c>
      <c r="L15" s="44" t="str">
        <f t="shared" ref="L15:M15" si="10">E15</f>
        <v/>
      </c>
      <c r="M15" s="44" t="str">
        <f t="shared" si="10"/>
        <v/>
      </c>
      <c r="N15" s="44">
        <f t="shared" si="6"/>
        <v>0</v>
      </c>
      <c r="O15" s="44">
        <f t="shared" si="7"/>
        <v>0</v>
      </c>
      <c r="P15" s="45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2"/>
      <c r="B16" s="39">
        <v>6.0</v>
      </c>
      <c r="C16" s="46"/>
      <c r="D16" s="47"/>
      <c r="E16" s="47"/>
      <c r="F16" s="47"/>
      <c r="G16" s="47"/>
      <c r="H16" s="47"/>
      <c r="I16" s="42" t="str">
        <f t="shared" si="2"/>
        <v/>
      </c>
      <c r="J16" s="43">
        <f t="shared" si="3"/>
        <v>0</v>
      </c>
      <c r="K16" s="44">
        <f t="shared" si="4"/>
        <v>0</v>
      </c>
      <c r="L16" s="44" t="str">
        <f t="shared" ref="L16:M16" si="11">E16</f>
        <v/>
      </c>
      <c r="M16" s="44" t="str">
        <f t="shared" si="11"/>
        <v/>
      </c>
      <c r="N16" s="44">
        <f t="shared" si="6"/>
        <v>0</v>
      </c>
      <c r="O16" s="44">
        <f t="shared" si="7"/>
        <v>0</v>
      </c>
      <c r="P16" s="45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2"/>
      <c r="B17" s="39">
        <v>7.0</v>
      </c>
      <c r="C17" s="46"/>
      <c r="D17" s="47"/>
      <c r="E17" s="47"/>
      <c r="F17" s="47"/>
      <c r="G17" s="47"/>
      <c r="H17" s="47"/>
      <c r="I17" s="42" t="str">
        <f t="shared" si="2"/>
        <v/>
      </c>
      <c r="J17" s="43">
        <f t="shared" si="3"/>
        <v>0</v>
      </c>
      <c r="K17" s="44">
        <f t="shared" si="4"/>
        <v>0</v>
      </c>
      <c r="L17" s="44" t="str">
        <f t="shared" ref="L17:M17" si="12">E17</f>
        <v/>
      </c>
      <c r="M17" s="44" t="str">
        <f t="shared" si="12"/>
        <v/>
      </c>
      <c r="N17" s="44">
        <f t="shared" si="6"/>
        <v>0</v>
      </c>
      <c r="O17" s="44">
        <f t="shared" si="7"/>
        <v>0</v>
      </c>
      <c r="P17" s="45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2"/>
      <c r="B18" s="39">
        <v>8.0</v>
      </c>
      <c r="C18" s="46"/>
      <c r="D18" s="47"/>
      <c r="E18" s="47"/>
      <c r="F18" s="47"/>
      <c r="G18" s="47"/>
      <c r="H18" s="47"/>
      <c r="I18" s="42" t="str">
        <f t="shared" si="2"/>
        <v/>
      </c>
      <c r="J18" s="43">
        <f t="shared" si="3"/>
        <v>0</v>
      </c>
      <c r="K18" s="44">
        <f t="shared" si="4"/>
        <v>0</v>
      </c>
      <c r="L18" s="44" t="str">
        <f t="shared" ref="L18:M18" si="13">E18</f>
        <v/>
      </c>
      <c r="M18" s="44" t="str">
        <f t="shared" si="13"/>
        <v/>
      </c>
      <c r="N18" s="44">
        <f t="shared" si="6"/>
        <v>0</v>
      </c>
      <c r="O18" s="44">
        <f t="shared" si="7"/>
        <v>0</v>
      </c>
      <c r="P18" s="45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2"/>
      <c r="B19" s="48">
        <v>9.0</v>
      </c>
      <c r="C19" s="49"/>
      <c r="D19" s="50"/>
      <c r="E19" s="50"/>
      <c r="F19" s="50"/>
      <c r="G19" s="50"/>
      <c r="H19" s="50"/>
      <c r="I19" s="51" t="str">
        <f t="shared" si="2"/>
        <v/>
      </c>
      <c r="J19" s="43">
        <f t="shared" si="3"/>
        <v>0</v>
      </c>
      <c r="K19" s="44">
        <f t="shared" si="4"/>
        <v>0</v>
      </c>
      <c r="L19" s="44" t="str">
        <f t="shared" ref="L19:M19" si="14">E19</f>
        <v/>
      </c>
      <c r="M19" s="44" t="str">
        <f t="shared" si="14"/>
        <v/>
      </c>
      <c r="N19" s="44">
        <f t="shared" si="6"/>
        <v>0</v>
      </c>
      <c r="O19" s="44">
        <f t="shared" si="7"/>
        <v>0</v>
      </c>
      <c r="P19" s="45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2"/>
      <c r="B20" s="48">
        <v>10.0</v>
      </c>
      <c r="C20" s="49"/>
      <c r="D20" s="50"/>
      <c r="E20" s="50"/>
      <c r="F20" s="50"/>
      <c r="G20" s="50"/>
      <c r="H20" s="50"/>
      <c r="I20" s="51" t="str">
        <f t="shared" si="2"/>
        <v/>
      </c>
      <c r="J20" s="43">
        <f t="shared" si="3"/>
        <v>0</v>
      </c>
      <c r="K20" s="44">
        <f t="shared" si="4"/>
        <v>0</v>
      </c>
      <c r="L20" s="44" t="str">
        <f t="shared" ref="L20:M20" si="15">E20</f>
        <v/>
      </c>
      <c r="M20" s="44" t="str">
        <f t="shared" si="15"/>
        <v/>
      </c>
      <c r="N20" s="44">
        <f t="shared" si="6"/>
        <v>0</v>
      </c>
      <c r="O20" s="44">
        <f t="shared" si="7"/>
        <v>0</v>
      </c>
      <c r="P20" s="45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2"/>
      <c r="B21" s="52" t="s">
        <v>23</v>
      </c>
      <c r="C21" s="53"/>
      <c r="D21" s="53"/>
      <c r="E21" s="53"/>
      <c r="F21" s="53"/>
      <c r="G21" s="53"/>
      <c r="H21" s="54"/>
      <c r="I21" s="55">
        <f>IF(AND(I11 = "", I12 = "", I13 = "", I14 = "", I15 = "", I16 = "", I17 = "", I18 = "", I19 = "",I20 = ""), "", (SUM(I11:I20) / (COUNT(I11:I20) * 10)) * 100)</f>
        <v>76.66666667</v>
      </c>
      <c r="J21" s="56"/>
      <c r="K21" s="56"/>
      <c r="L21" s="56"/>
      <c r="M21" s="56"/>
      <c r="N21" s="56"/>
      <c r="O21" s="56"/>
      <c r="P21" s="45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7"/>
      <c r="B22" s="58" t="s">
        <v>24</v>
      </c>
      <c r="C22" s="59"/>
      <c r="D22" s="59"/>
      <c r="E22" s="59"/>
      <c r="F22" s="59"/>
      <c r="G22" s="59"/>
      <c r="H22" s="60"/>
      <c r="I22" s="61" t="str">
        <f>IF(I21 = "", "", IF(I21 &gt;= 90, "ممتاز", IF(I21 &gt;= 80, "جيدجدا", IF(I21 &gt;= 70, "جيد", "راسب"))))</f>
        <v>جيد</v>
      </c>
      <c r="J22" s="56"/>
      <c r="K22" s="56"/>
      <c r="L22" s="56"/>
      <c r="M22" s="56"/>
      <c r="N22" s="56"/>
      <c r="O22" s="56"/>
      <c r="P22" s="45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2"/>
      <c r="D28" s="62"/>
      <c r="E28" s="62"/>
      <c r="F28" s="62"/>
      <c r="G28" s="62"/>
      <c r="H28" s="62"/>
      <c r="I28" s="1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5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5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5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5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5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5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5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5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5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5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5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5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5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5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5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5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5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5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5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5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5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5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5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5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5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5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5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5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5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5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5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5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5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5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5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5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5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5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5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5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5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5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5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5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5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5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5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5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5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5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5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5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5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5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5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5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5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5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5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5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5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5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5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5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5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5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5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5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5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5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5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5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5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5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5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5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5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5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5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5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5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5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5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5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5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5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5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5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5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5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5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5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5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5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5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5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5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5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5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5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5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5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5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5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5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5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5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5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5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5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5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5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5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5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5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5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5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5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5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5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5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5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5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5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5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5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5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5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5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5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5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5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5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5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5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5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5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5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5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5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5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5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5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5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5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5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5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5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5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5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5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5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5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5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5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5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5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5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5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5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5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5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5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5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5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5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5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5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5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5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5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5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5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5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5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5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5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5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5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5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5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5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5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5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5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5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5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5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5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5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5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5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5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5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5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5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5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5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5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5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5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5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5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5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5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5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5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5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5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5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5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5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5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5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5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5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5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5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5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5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5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5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5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5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5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5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5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5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5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5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5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5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5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5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5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5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5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5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5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5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5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5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5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5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5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5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5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5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5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5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5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5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5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5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5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5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5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5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5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5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5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5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5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5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5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5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5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5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5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5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5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5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5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5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5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5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5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5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5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5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5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5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5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5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5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5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5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5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5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5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5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5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5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5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5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5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5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5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5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5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5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5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5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5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5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5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5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5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5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5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5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5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5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5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5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5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5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5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5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5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5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5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5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5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5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5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5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5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5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5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5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5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5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5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5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5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5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5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5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5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5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5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5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5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5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5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5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5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5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5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5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5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5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5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5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5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5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5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5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5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5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5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5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5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5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5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5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5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5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5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5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5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5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5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5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5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5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5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5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5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5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5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5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5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5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5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5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5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5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5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5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5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5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5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5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5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5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5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5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5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5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5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5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5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5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5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5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5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5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5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5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5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5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5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5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5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5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5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5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5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5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5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5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5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5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5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5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5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5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5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5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5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5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5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5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5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5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5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5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5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5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5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5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5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5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5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5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5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5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5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5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5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5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5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5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5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5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5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5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5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5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5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5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5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5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5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5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5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5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5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5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5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5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5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5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5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5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5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5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5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5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5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5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5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5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5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5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5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5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5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5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5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5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5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5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5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5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5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5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5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5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5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5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5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5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5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5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5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5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5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5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5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5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5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5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5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5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5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5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5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5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5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5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5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5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5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5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5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5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5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5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5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5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5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5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5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5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5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5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5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5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5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5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5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5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5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5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5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5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5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5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5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5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5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5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5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5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5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5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5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5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5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5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5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5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5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5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5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5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5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5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5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5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5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5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5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5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5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5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5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5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5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5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5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5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5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5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5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5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5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5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5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5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5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5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5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5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5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5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5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5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5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5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5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5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5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5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5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5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5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5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5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5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5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5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5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5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5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5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5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5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5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5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5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5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5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5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5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5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5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5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5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5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5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5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5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5.7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5.7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5.7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5.7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5.7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5.7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5.7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5.7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5.7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5.7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5.7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5.7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5.7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5.7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5.7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5.7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5.7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5.7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5.7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5.7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5.7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5.7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5.7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5.7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5.7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5.7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5.7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5.7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5.7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5.7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5.7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5.7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5.7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5.7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5.7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5.7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5.7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5.7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5.7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5.7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5.7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5.7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5.7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5.7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5.7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5.7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5.7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5.7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5.7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5.7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5.7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5.7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5.7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5.7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5.7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5.7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5.7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5.7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5.7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5.7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5.7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5.7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5.7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5.7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5.7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5.7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5.7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5.7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5.7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5.7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5.7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5.7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5.7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5.7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5.7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5.7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5.7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5.7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5.7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5.7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5.7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5.7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5.7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5.7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5.7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5.7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5.7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5.7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5.7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5.7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5.7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5.7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5.7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5.7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5.7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5.7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5.7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5.7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5.7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5.7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5.7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5.7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5.7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5.7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5.7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5.7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5.7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5.7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5.7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5.7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5.7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5.7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5.7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5.7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5.7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5.7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5.7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5.7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5.7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5.7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5.7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5.7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5.7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5.7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5.7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5.7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5.7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5.7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5.7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5.7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5.7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5.7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5.7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5.7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5.7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5.7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5.7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5.7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5.7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5.7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5.7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