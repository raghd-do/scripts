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3596" windowHeight="15076" tabRatio="600" firstSheet="0" activeTab="0" autoFilterDateGrouping="1"/>
  </bookViews>
  <sheets>
    <sheet name="استمارة اختبار الدورة المكثفة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theme="1"/>
      <sz val="11"/>
      <scheme val="minor"/>
    </font>
    <font>
      <name val="Calibri"/>
      <color theme="1"/>
      <sz val="14"/>
    </font>
    <font>
      <name val="Calibri"/>
      <color theme="1"/>
      <sz val="12"/>
    </font>
    <font>
      <name val="Arial"/>
      <sz val="11"/>
    </font>
    <font>
      <name val="Arial"/>
      <color theme="1"/>
      <sz val="14"/>
      <scheme val="minor"/>
    </font>
    <font>
      <name val="Calibri"/>
      <b val="1"/>
      <color theme="0"/>
      <sz val="16"/>
    </font>
    <font>
      <name val="Calibri"/>
      <color rgb="FFF2F2F2"/>
      <sz val="14"/>
    </font>
    <font>
      <name val="Calibri"/>
      <color theme="0"/>
      <sz val="14"/>
    </font>
  </fonts>
  <fills count="8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6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double">
        <color rgb="FF000000"/>
      </right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double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double">
        <color rgb="FF000000"/>
      </right>
      <top style="thin">
        <color rgb="FF000000"/>
      </top>
      <bottom/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/>
      <right style="thin">
        <color rgb="FFF2F2F2"/>
      </right>
      <top style="thin">
        <color rgb="FFF2F2F2"/>
      </top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/>
      <diagonal/>
    </border>
    <border>
      <left style="thick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 style="double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/>
      <right style="thin">
        <color rgb="FFF2F2F2"/>
      </right>
      <top/>
      <bottom style="thin">
        <color rgb="FFF2F2F2"/>
      </bottom>
      <diagonal/>
    </border>
    <border>
      <left style="thin">
        <color rgb="FFF2F2F2"/>
      </left>
      <right style="thin">
        <color rgb="FFF2F2F2"/>
      </right>
      <top/>
      <bottom style="thin">
        <color rgb="FFF2F2F2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2F2F2"/>
      </right>
      <top style="thin">
        <color rgb="FFF2F2F2"/>
      </top>
      <bottom style="thin">
        <color rgb="FFF2F2F2"/>
      </bottom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  <diagonal/>
    </border>
    <border>
      <left style="double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  <diagonal/>
    </border>
    <border>
      <left style="thick">
        <color rgb="FF000000"/>
      </left>
      <right style="double">
        <color rgb="FF000000"/>
      </right>
      <top/>
      <bottom style="thick">
        <color rgb="FF000000"/>
      </bottom>
      <diagonal/>
    </border>
    <border>
      <left style="double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F2F2F2"/>
      </left>
      <right/>
      <top/>
      <bottom/>
      <diagonal/>
    </border>
    <border>
      <left style="thin">
        <color rgb="FFF2F2F2"/>
      </left>
      <right style="thin">
        <color rgb="FFF2F2F2"/>
      </right>
      <top/>
      <bottom/>
      <diagonal/>
    </border>
    <border>
      <left style="double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double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double">
        <color rgb="FF000000"/>
      </right>
      <top style="thin">
        <color rgb="FF000000"/>
      </top>
      <bottom style="thick">
        <color rgb="FF000000"/>
      </bottom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/>
      <right style="thin">
        <color rgb="FFF2F2F2"/>
      </right>
      <top/>
      <bottom/>
      <diagonal/>
    </border>
  </borders>
  <cellStyleXfs count="1">
    <xf numFmtId="0" fontId="0" fillId="0" borderId="3"/>
  </cellStyleXfs>
  <cellXfs count="9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4" borderId="7" applyAlignment="1" pivotButton="0" quotePrefix="0" xfId="0">
      <alignment horizontal="center" vertical="center"/>
    </xf>
    <xf numFmtId="0" fontId="4" fillId="5" borderId="7" applyAlignment="1" pivotButton="0" quotePrefix="0" xfId="0">
      <alignment horizontal="center" vertical="center"/>
    </xf>
    <xf numFmtId="0" fontId="1" fillId="4" borderId="7" applyAlignment="1" pivotButton="0" quotePrefix="0" xfId="0">
      <alignment horizontal="center" vertical="center" wrapText="1"/>
    </xf>
    <xf numFmtId="0" fontId="1" fillId="0" borderId="30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1" fillId="0" borderId="31" applyAlignment="1" pivotButton="0" quotePrefix="0" xfId="0">
      <alignment horizontal="center" vertical="center"/>
    </xf>
    <xf numFmtId="0" fontId="6" fillId="2" borderId="32" applyAlignment="1" pivotButton="0" quotePrefix="0" xfId="0">
      <alignment horizontal="center" vertical="center"/>
    </xf>
    <xf numFmtId="0" fontId="6" fillId="2" borderId="33" applyAlignment="1" pivotButton="0" quotePrefix="0" xfId="0">
      <alignment horizontal="center" vertical="center"/>
    </xf>
    <xf numFmtId="0" fontId="1" fillId="2" borderId="1" applyAlignment="1" pivotButton="0" quotePrefix="0" xfId="0">
      <alignment vertical="center"/>
    </xf>
    <xf numFmtId="0" fontId="1" fillId="0" borderId="17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1" fillId="0" borderId="20" applyAlignment="1" pivotButton="0" quotePrefix="0" xfId="0">
      <alignment horizontal="center" vertical="center"/>
    </xf>
    <xf numFmtId="1" fontId="1" fillId="0" borderId="37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1" fillId="0" borderId="42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6" fillId="2" borderId="22" applyAlignment="1" pivotButton="0" quotePrefix="0" xfId="0">
      <alignment horizontal="center" vertical="center" wrapText="1"/>
    </xf>
    <xf numFmtId="0" fontId="3" fillId="0" borderId="29" pivotButton="0" quotePrefix="0" xfId="0"/>
    <xf numFmtId="0" fontId="7" fillId="7" borderId="34" applyAlignment="1" pivotButton="0" quotePrefix="0" xfId="0">
      <alignment horizontal="center" vertical="center"/>
    </xf>
    <xf numFmtId="0" fontId="3" fillId="0" borderId="35" pivotButton="0" quotePrefix="0" xfId="0"/>
    <xf numFmtId="0" fontId="3" fillId="0" borderId="36" pivotButton="0" quotePrefix="0" xfId="0"/>
    <xf numFmtId="0" fontId="7" fillId="7" borderId="39" applyAlignment="1" pivotButton="0" quotePrefix="0" xfId="0">
      <alignment horizontal="center" vertical="center"/>
    </xf>
    <xf numFmtId="0" fontId="3" fillId="0" borderId="40" pivotButton="0" quotePrefix="0" xfId="0"/>
    <xf numFmtId="0" fontId="3" fillId="0" borderId="41" pivotButton="0" quotePrefix="0" xfId="0"/>
    <xf numFmtId="0" fontId="5" fillId="6" borderId="8" applyAlignment="1" pivotButton="0" quotePrefix="0" xfId="0">
      <alignment horizontal="center" vertical="center"/>
    </xf>
    <xf numFmtId="0" fontId="3" fillId="0" borderId="12" pivotButton="0" quotePrefix="0" xfId="0"/>
    <xf numFmtId="0" fontId="5" fillId="6" borderId="9" applyAlignment="1" pivotButton="0" quotePrefix="0" xfId="0">
      <alignment horizontal="center" vertical="center"/>
    </xf>
    <xf numFmtId="0" fontId="3" fillId="0" borderId="10" pivotButton="0" quotePrefix="0" xfId="0"/>
    <xf numFmtId="0" fontId="3" fillId="0" borderId="11" pivotButton="0" quotePrefix="0" xfId="0"/>
    <xf numFmtId="0" fontId="3" fillId="0" borderId="13" pivotButton="0" quotePrefix="0" xfId="0"/>
    <xf numFmtId="0" fontId="3" fillId="0" borderId="14" pivotButton="0" quotePrefix="0" xfId="0"/>
    <xf numFmtId="0" fontId="3" fillId="0" borderId="15" pivotButton="0" quotePrefix="0" xfId="0"/>
    <xf numFmtId="0" fontId="1" fillId="0" borderId="16" applyAlignment="1" pivotButton="0" quotePrefix="0" xfId="0">
      <alignment horizontal="center" vertical="center" wrapText="1"/>
    </xf>
    <xf numFmtId="0" fontId="3" fillId="0" borderId="23" pivotButton="0" quotePrefix="0" xfId="0"/>
    <xf numFmtId="0" fontId="3" fillId="0" borderId="38" pivotButton="0" quotePrefix="0" xfId="0"/>
    <xf numFmtId="0" fontId="1" fillId="0" borderId="17" applyAlignment="1" pivotButton="0" quotePrefix="0" xfId="0">
      <alignment horizontal="center" vertical="center" wrapText="1"/>
    </xf>
    <xf numFmtId="0" fontId="3" fillId="0" borderId="24" pivotButton="0" quotePrefix="0" xfId="0"/>
    <xf numFmtId="0" fontId="1" fillId="0" borderId="18" applyAlignment="1" pivotButton="0" quotePrefix="0" xfId="0">
      <alignment horizontal="center" vertical="center" wrapText="1"/>
    </xf>
    <xf numFmtId="0" fontId="3" fillId="0" borderId="25" pivotButton="0" quotePrefix="0" xfId="0"/>
    <xf numFmtId="0" fontId="1" fillId="0" borderId="19" applyAlignment="1" pivotButton="0" quotePrefix="0" xfId="0">
      <alignment horizontal="center" vertical="center" wrapText="1"/>
    </xf>
    <xf numFmtId="0" fontId="3" fillId="0" borderId="26" pivotButton="0" quotePrefix="0" xfId="0"/>
    <xf numFmtId="0" fontId="1" fillId="0" borderId="20" applyAlignment="1" pivotButton="0" quotePrefix="0" xfId="0">
      <alignment horizontal="center" vertical="center" wrapText="1"/>
    </xf>
    <xf numFmtId="0" fontId="3" fillId="0" borderId="27" pivotButton="0" quotePrefix="0" xfId="0"/>
    <xf numFmtId="0" fontId="6" fillId="2" borderId="21" applyAlignment="1" pivotButton="0" quotePrefix="0" xfId="0">
      <alignment horizontal="center" vertical="center" wrapText="1"/>
    </xf>
    <xf numFmtId="0" fontId="3" fillId="0" borderId="28" pivotButton="0" quotePrefix="0" xfId="0"/>
    <xf numFmtId="0" fontId="1" fillId="4" borderId="4" applyAlignment="1" pivotButton="0" quotePrefix="0" xfId="0">
      <alignment horizontal="center" vertical="center"/>
    </xf>
    <xf numFmtId="0" fontId="3" fillId="0" borderId="5" pivotButton="0" quotePrefix="0" xfId="0"/>
    <xf numFmtId="0" fontId="1" fillId="5" borderId="4" applyAlignment="1" pivotButton="0" quotePrefix="0" xfId="0">
      <alignment horizontal="center" vertical="center"/>
    </xf>
    <xf numFmtId="0" fontId="3" fillId="0" borderId="6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3" borderId="2" applyAlignment="1" pivotButton="0" quotePrefix="0" xfId="0">
      <alignment horizontal="center" vertical="center"/>
    </xf>
    <xf numFmtId="0" fontId="3" fillId="0" borderId="3" pivotButton="0" quotePrefix="0" xfId="0"/>
    <xf numFmtId="0" fontId="2" fillId="0" borderId="3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 vertical="center"/>
    </xf>
    <xf numFmtId="0" fontId="0" fillId="0" borderId="5" pivotButton="0" quotePrefix="0" xfId="0"/>
    <xf numFmtId="0" fontId="1" fillId="5" borderId="7" applyAlignment="1" pivotButton="0" quotePrefix="0" xfId="0">
      <alignment horizontal="center" vertical="center"/>
    </xf>
    <xf numFmtId="0" fontId="0" fillId="0" borderId="6" pivotButton="0" quotePrefix="0" xfId="0"/>
    <xf numFmtId="0" fontId="5" fillId="6" borderId="52" applyAlignment="1" pivotButton="0" quotePrefix="0" xfId="0">
      <alignment horizontal="center" vertical="center"/>
    </xf>
    <xf numFmtId="0" fontId="5" fillId="6" borderId="5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4" pivotButton="0" quotePrefix="0" xfId="0"/>
    <xf numFmtId="0" fontId="0" fillId="0" borderId="15" pivotButton="0" quotePrefix="0" xfId="0"/>
    <xf numFmtId="0" fontId="1" fillId="0" borderId="56" applyAlignment="1" pivotButton="0" quotePrefix="0" xfId="0">
      <alignment horizontal="center" vertical="center" wrapText="1"/>
    </xf>
    <xf numFmtId="0" fontId="1" fillId="0" borderId="30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31" applyAlignment="1" pivotButton="0" quotePrefix="0" xfId="0">
      <alignment horizontal="center" vertical="center" wrapText="1"/>
    </xf>
    <xf numFmtId="0" fontId="6" fillId="2" borderId="32" applyAlignment="1" pivotButton="0" quotePrefix="0" xfId="0">
      <alignment horizontal="center" vertical="center" wrapText="1"/>
    </xf>
    <xf numFmtId="0" fontId="6" fillId="2" borderId="33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7" fillId="7" borderId="48" applyAlignment="1" pivotButton="0" quotePrefix="0" xfId="0">
      <alignment horizontal="center" vertical="center"/>
    </xf>
    <xf numFmtId="0" fontId="0" fillId="0" borderId="35" pivotButton="0" quotePrefix="0" xfId="0"/>
    <xf numFmtId="0" fontId="0" fillId="0" borderId="36" pivotButton="0" quotePrefix="0" xfId="0"/>
    <xf numFmtId="0" fontId="0" fillId="0" borderId="38" pivotButton="0" quotePrefix="0" xfId="0"/>
    <xf numFmtId="0" fontId="7" fillId="7" borderId="51" applyAlignment="1" pivotButton="0" quotePrefix="0" xfId="0">
      <alignment horizontal="center" vertical="center"/>
    </xf>
    <xf numFmtId="0" fontId="0" fillId="0" borderId="40" pivotButton="0" quotePrefix="0" xfId="0"/>
    <xf numFmtId="0" fontId="0" fillId="0" borderId="4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rightToLeft="1" tabSelected="1" workbookViewId="0">
      <selection activeCell="H3" sqref="H3"/>
    </sheetView>
  </sheetViews>
  <sheetFormatPr baseColWidth="8" defaultColWidth="12.625" defaultRowHeight="15" customHeight="1"/>
  <cols>
    <col width="8.75" customWidth="1" style="55" min="1" max="1"/>
    <col width="7.625" customWidth="1" style="55" min="2" max="2"/>
    <col width="13.75" customWidth="1" style="55" min="3" max="8"/>
    <col width="18.125" customWidth="1" style="55" min="9" max="9"/>
    <col width="9.375" customWidth="1" style="55" min="10" max="10"/>
    <col width="8" customWidth="1" style="55" min="11" max="23"/>
    <col width="7.625" customWidth="1" style="55" min="24" max="26"/>
  </cols>
  <sheetData>
    <row r="1" ht="18.75" customHeight="1" s="55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8.75" customHeight="1" s="55">
      <c r="A2" s="58" t="inlineStr">
        <is>
          <t>الجمعية الخيرية لتحفيظ القرآن الكريم في محافظة عنيزة</t>
        </is>
      </c>
      <c r="E2" s="59" t="inlineStr">
        <is>
          <t>استمارة تعاهد</t>
        </is>
      </c>
      <c r="H2" s="58" t="inlineStr">
        <is>
          <t>إدارة الاختبارات 1447 هـ</t>
        </is>
      </c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8.75" customHeight="1" s="55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8.75" customHeight="1" s="55">
      <c r="A4" s="3" t="inlineStr">
        <is>
          <t>اسم الطالبة رباعي</t>
        </is>
      </c>
      <c r="B4" s="60" t="n"/>
      <c r="C4" s="61" t="inlineStr">
        <is>
          <t>غيداء عبدالرحمن حمد الهميلي</t>
        </is>
      </c>
      <c r="D4" s="62" t="n"/>
      <c r="E4" s="60" t="n"/>
      <c r="F4" s="3" t="inlineStr">
        <is>
          <t>المنهج</t>
        </is>
      </c>
      <c r="G4" s="4" t="inlineStr">
        <is>
          <t>تعاهد 3</t>
        </is>
      </c>
      <c r="H4" s="5" t="inlineStr">
        <is>
          <t>السجل المدني</t>
        </is>
      </c>
      <c r="I4" s="4" t="n">
        <v>1095999312</v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8.75" customHeight="1" s="55">
      <c r="A5" s="3" t="inlineStr">
        <is>
          <t>اسم البرنامج</t>
        </is>
      </c>
      <c r="B5" s="60" t="n"/>
      <c r="C5" s="61" t="inlineStr">
        <is>
          <t>تاج الوقار</t>
        </is>
      </c>
      <c r="D5" s="62" t="n"/>
      <c r="E5" s="60" t="n"/>
      <c r="F5" s="3" t="inlineStr">
        <is>
          <t>المستوى</t>
        </is>
      </c>
      <c r="G5" s="4" t="inlineStr">
        <is>
          <t>المجادلة - الناس</t>
        </is>
      </c>
      <c r="H5" s="3" t="inlineStr">
        <is>
          <t>اسم المعلمة</t>
        </is>
      </c>
      <c r="I5" s="4" t="inlineStr">
        <is>
          <t>-</t>
        </is>
      </c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8.75" customHeight="1" s="55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9.5" customHeight="1" s="55">
      <c r="A7" s="63" t="inlineStr">
        <is>
          <t>المستوى</t>
        </is>
      </c>
      <c r="B7" s="64" t="inlineStr">
        <is>
          <t>المراجعة</t>
        </is>
      </c>
      <c r="C7" s="65" t="n"/>
      <c r="D7" s="65" t="n"/>
      <c r="E7" s="65" t="n"/>
      <c r="F7" s="65" t="n"/>
      <c r="G7" s="65" t="n"/>
      <c r="H7" s="65" t="n"/>
      <c r="I7" s="66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8.75" customHeight="1" s="55">
      <c r="A8" s="67" t="n"/>
      <c r="B8" s="68" t="n"/>
      <c r="C8" s="68" t="n"/>
      <c r="D8" s="68" t="n"/>
      <c r="E8" s="68" t="n"/>
      <c r="F8" s="68" t="n"/>
      <c r="G8" s="68" t="n"/>
      <c r="H8" s="68" t="n"/>
      <c r="I8" s="69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8.75" customHeight="1" s="55">
      <c r="A9" s="70" t="n"/>
      <c r="B9" s="71" t="inlineStr">
        <is>
          <t>رقم السؤال</t>
        </is>
      </c>
      <c r="C9" s="72" t="inlineStr">
        <is>
          <t>تردد</t>
        </is>
      </c>
      <c r="D9" s="73" t="inlineStr">
        <is>
          <t>تنبيه</t>
        </is>
      </c>
      <c r="E9" s="73" t="inlineStr">
        <is>
          <t>خطأ في حركة</t>
        </is>
      </c>
      <c r="F9" s="73" t="inlineStr">
        <is>
          <t>خطأ في حرف</t>
        </is>
      </c>
      <c r="G9" s="73" t="inlineStr">
        <is>
          <t>خطأ في كلمة</t>
        </is>
      </c>
      <c r="H9" s="73" t="inlineStr">
        <is>
          <t>خطأ تجويدي</t>
        </is>
      </c>
      <c r="I9" s="74" t="inlineStr">
        <is>
          <t>الدرجة</t>
        </is>
      </c>
      <c r="J9" s="75" t="inlineStr">
        <is>
          <t>تردد</t>
        </is>
      </c>
      <c r="K9" s="76" t="inlineStr">
        <is>
          <t>تنبيه</t>
        </is>
      </c>
      <c r="L9" s="76" t="inlineStr">
        <is>
          <t>خطأ في حركة</t>
        </is>
      </c>
      <c r="M9" s="76" t="inlineStr">
        <is>
          <t>خطأ في حرف</t>
        </is>
      </c>
      <c r="N9" s="76" t="inlineStr">
        <is>
          <t>خطأ في كلمة</t>
        </is>
      </c>
      <c r="O9" s="76" t="inlineStr">
        <is>
          <t>خطأ تجويدي</t>
        </is>
      </c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8.75" customHeight="1" s="55">
      <c r="A10" s="77" t="n"/>
      <c r="B10" s="78" t="n"/>
      <c r="C10" s="79" t="n"/>
      <c r="D10" s="80" t="n"/>
      <c r="E10" s="80" t="n"/>
      <c r="F10" s="80" t="n"/>
      <c r="G10" s="80" t="n"/>
      <c r="H10" s="80" t="n"/>
      <c r="I10" s="81" t="n"/>
      <c r="J10" s="82" t="n"/>
      <c r="K10" s="83" t="n"/>
      <c r="L10" s="83" t="n"/>
      <c r="M10" s="83" t="n"/>
      <c r="N10" s="83" t="n"/>
      <c r="O10" s="83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8.75" customHeight="1" s="55">
      <c r="A11" s="77" t="n"/>
      <c r="B11" s="6" t="n">
        <v>1</v>
      </c>
      <c r="C11" s="7" t="n"/>
      <c r="D11" s="8" t="n"/>
      <c r="E11" s="8" t="n"/>
      <c r="F11" s="8" t="n"/>
      <c r="G11" s="8" t="n"/>
      <c r="H11" s="8" t="n"/>
      <c r="I11" s="9">
        <f>IF(AND(COUNT(C11)&gt;0, COUNT(D11)&gt;0, COUNT(E11)&gt;0, COUNT(F11)&gt;0, COUNT(G11)&gt;0, COUNT(H11)&gt;0), 10 - SUM(J11:O11), "")</f>
        <v/>
      </c>
      <c r="J11" s="10">
        <f>IF(C11&gt;2, (C11-2) * 0.25, 0)</f>
        <v/>
      </c>
      <c r="K11" s="11">
        <f>IF(D11&gt;1, (D11-1) * 0.25, 0)</f>
        <v/>
      </c>
      <c r="L11" s="11">
        <f>E11</f>
        <v/>
      </c>
      <c r="M11" s="11">
        <f>F11</f>
        <v/>
      </c>
      <c r="N11" s="11">
        <f>G11*1.5</f>
        <v/>
      </c>
      <c r="O11" s="11">
        <f>H11*0.125</f>
        <v/>
      </c>
      <c r="P11" s="1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8.75" customHeight="1" s="55">
      <c r="A12" s="77" t="n"/>
      <c r="B12" s="6" t="n">
        <v>2</v>
      </c>
      <c r="C12" s="7" t="n"/>
      <c r="D12" s="8" t="n"/>
      <c r="E12" s="8" t="n"/>
      <c r="F12" s="8" t="n"/>
      <c r="G12" s="8" t="n"/>
      <c r="H12" s="8" t="n"/>
      <c r="I12" s="9">
        <f>IF(AND(COUNT(C12)&gt;0, COUNT(D12)&gt;0, COUNT(E12)&gt;0, COUNT(F12)&gt;0, COUNT(G12)&gt;0, COUNT(H12)&gt;0), 10 - SUM(J12:O12), "")</f>
        <v/>
      </c>
      <c r="J12" s="10">
        <f>IF(C12&gt;2, (C12-2) * 0.25, 0)</f>
        <v/>
      </c>
      <c r="K12" s="11">
        <f>IF(D12&gt;1, (D12-1) * 0.25, 0)</f>
        <v/>
      </c>
      <c r="L12" s="11">
        <f>E12</f>
        <v/>
      </c>
      <c r="M12" s="11">
        <f>F12</f>
        <v/>
      </c>
      <c r="N12" s="11">
        <f>G12*1.5</f>
        <v/>
      </c>
      <c r="O12" s="11">
        <f>H12*0.125</f>
        <v/>
      </c>
      <c r="P12" s="1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8.75" customHeight="1" s="55">
      <c r="A13" s="77" t="n"/>
      <c r="B13" s="6" t="n">
        <v>3</v>
      </c>
      <c r="C13" s="7" t="n"/>
      <c r="D13" s="8" t="n"/>
      <c r="E13" s="8" t="n"/>
      <c r="F13" s="8" t="n"/>
      <c r="G13" s="8" t="n"/>
      <c r="H13" s="8" t="n"/>
      <c r="I13" s="9">
        <f>IF(AND(COUNT(C13)&gt;0, COUNT(D13)&gt;0, COUNT(E13)&gt;0, COUNT(F13)&gt;0, COUNT(G13)&gt;0, COUNT(H13)&gt;0), 10 - SUM(J13:O13), "")</f>
        <v/>
      </c>
      <c r="J13" s="10">
        <f>IF(C13&gt;2, (C13-2) * 0.25, 0)</f>
        <v/>
      </c>
      <c r="K13" s="11">
        <f>IF(D13&gt;1, (D13-1) * 0.25, 0)</f>
        <v/>
      </c>
      <c r="L13" s="11">
        <f>E13</f>
        <v/>
      </c>
      <c r="M13" s="11">
        <f>F13</f>
        <v/>
      </c>
      <c r="N13" s="11">
        <f>G13*1.5</f>
        <v/>
      </c>
      <c r="O13" s="11">
        <f>H13*0.125</f>
        <v/>
      </c>
      <c r="P13" s="1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8.75" customHeight="1" s="55">
      <c r="A14" s="77" t="n"/>
      <c r="B14" s="6" t="n">
        <v>4</v>
      </c>
      <c r="C14" s="7" t="n"/>
      <c r="D14" s="8" t="n"/>
      <c r="E14" s="8" t="n"/>
      <c r="F14" s="8" t="n"/>
      <c r="G14" s="8" t="n"/>
      <c r="H14" s="8" t="n"/>
      <c r="I14" s="9">
        <f>IF(AND(COUNT(C14)&gt;0, COUNT(D14)&gt;0, COUNT(E14)&gt;0, COUNT(F14)&gt;0, COUNT(G14)&gt;0, COUNT(H14)&gt;0), 10 - SUM(J14:O14), "")</f>
        <v/>
      </c>
      <c r="J14" s="10">
        <f>IF(C14&gt;2, (C14-2) * 0.25, 0)</f>
        <v/>
      </c>
      <c r="K14" s="11">
        <f>IF(D14&gt;1, (D14-1) * 0.25, 0)</f>
        <v/>
      </c>
      <c r="L14" s="11">
        <f>E14</f>
        <v/>
      </c>
      <c r="M14" s="11">
        <f>F14</f>
        <v/>
      </c>
      <c r="N14" s="11">
        <f>G14*1.5</f>
        <v/>
      </c>
      <c r="O14" s="11">
        <f>H14*0.125</f>
        <v/>
      </c>
      <c r="P14" s="1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8.75" customHeight="1" s="55">
      <c r="A15" s="77" t="n"/>
      <c r="B15" s="6" t="n">
        <v>5</v>
      </c>
      <c r="C15" s="7" t="n"/>
      <c r="D15" s="8" t="n"/>
      <c r="E15" s="8" t="n"/>
      <c r="F15" s="8" t="n"/>
      <c r="G15" s="8" t="n"/>
      <c r="H15" s="8" t="n"/>
      <c r="I15" s="9">
        <f>IF(AND(COUNT(C15)&gt;0, COUNT(D15)&gt;0, COUNT(E15)&gt;0, COUNT(F15)&gt;0, COUNT(G15)&gt;0, COUNT(H15)&gt;0), 10 - SUM(J15:O15), "")</f>
        <v/>
      </c>
      <c r="J15" s="10">
        <f>IF(C15&gt;2, (C15-2) * 0.25, 0)</f>
        <v/>
      </c>
      <c r="K15" s="11">
        <f>IF(D15&gt;1, (D15-1) * 0.25, 0)</f>
        <v/>
      </c>
      <c r="L15" s="11">
        <f>E15</f>
        <v/>
      </c>
      <c r="M15" s="11">
        <f>F15</f>
        <v/>
      </c>
      <c r="N15" s="11">
        <f>G15*1.5</f>
        <v/>
      </c>
      <c r="O15" s="11">
        <f>H15*0.125</f>
        <v/>
      </c>
      <c r="P15" s="1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8.75" customHeight="1" s="55">
      <c r="A16" s="77" t="n"/>
      <c r="B16" s="6" t="n">
        <v>6</v>
      </c>
      <c r="C16" s="7" t="n"/>
      <c r="D16" s="8" t="n"/>
      <c r="E16" s="8" t="n"/>
      <c r="F16" s="8" t="n"/>
      <c r="G16" s="8" t="n"/>
      <c r="H16" s="8" t="n"/>
      <c r="I16" s="9">
        <f>IF(AND(COUNT(C16)&gt;0, COUNT(D16)&gt;0, COUNT(E16)&gt;0, COUNT(F16)&gt;0, COUNT(G16)&gt;0, COUNT(H16)&gt;0), 10 - SUM(J16:O16), "")</f>
        <v/>
      </c>
      <c r="J16" s="10">
        <f>IF(C16&gt;2, (C16-2) * 0.25, 0)</f>
        <v/>
      </c>
      <c r="K16" s="11">
        <f>IF(D16&gt;1, (D16-1) * 0.25, 0)</f>
        <v/>
      </c>
      <c r="L16" s="11">
        <f>E16</f>
        <v/>
      </c>
      <c r="M16" s="11">
        <f>F16</f>
        <v/>
      </c>
      <c r="N16" s="11">
        <f>G16*1.5</f>
        <v/>
      </c>
      <c r="O16" s="11">
        <f>H16*0.125</f>
        <v/>
      </c>
      <c r="P16" s="1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8.75" customHeight="1" s="55">
      <c r="A17" s="77" t="n"/>
      <c r="B17" s="6" t="n">
        <v>7</v>
      </c>
      <c r="C17" s="7" t="n"/>
      <c r="D17" s="8" t="n"/>
      <c r="E17" s="8" t="n"/>
      <c r="F17" s="8" t="n"/>
      <c r="G17" s="8" t="n"/>
      <c r="H17" s="8" t="n"/>
      <c r="I17" s="9">
        <f>IF(AND(COUNT(C17)&gt;0, COUNT(D17)&gt;0, COUNT(E17)&gt;0, COUNT(F17)&gt;0, COUNT(G17)&gt;0, COUNT(H17)&gt;0), 10 - SUM(J17:O17), "")</f>
        <v/>
      </c>
      <c r="J17" s="10">
        <f>IF(C17&gt;2, (C17-2) * 0.25, 0)</f>
        <v/>
      </c>
      <c r="K17" s="11">
        <f>IF(D17&gt;1, (D17-1) * 0.25, 0)</f>
        <v/>
      </c>
      <c r="L17" s="11">
        <f>E17</f>
        <v/>
      </c>
      <c r="M17" s="11">
        <f>F17</f>
        <v/>
      </c>
      <c r="N17" s="11">
        <f>G17*1.5</f>
        <v/>
      </c>
      <c r="O17" s="11">
        <f>H17*0.125</f>
        <v/>
      </c>
      <c r="P17" s="1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8.75" customHeight="1" s="55">
      <c r="A18" s="77" t="n"/>
      <c r="B18" s="6" t="n">
        <v>8</v>
      </c>
      <c r="C18" s="7" t="n"/>
      <c r="D18" s="8" t="n"/>
      <c r="E18" s="8" t="n"/>
      <c r="F18" s="8" t="n"/>
      <c r="G18" s="8" t="n"/>
      <c r="H18" s="8" t="n"/>
      <c r="I18" s="9">
        <f>IF(AND(COUNT(C18)&gt;0, COUNT(D18)&gt;0, COUNT(E18)&gt;0, COUNT(F18)&gt;0, COUNT(G18)&gt;0, COUNT(H18)&gt;0), 10 - SUM(J18:O18), "")</f>
        <v/>
      </c>
      <c r="J18" s="10">
        <f>IF(C18&gt;2, (C18-2) * 0.25, 0)</f>
        <v/>
      </c>
      <c r="K18" s="11">
        <f>IF(D18&gt;1, (D18-1) * 0.25, 0)</f>
        <v/>
      </c>
      <c r="L18" s="11">
        <f>E18</f>
        <v/>
      </c>
      <c r="M18" s="11">
        <f>F18</f>
        <v/>
      </c>
      <c r="N18" s="11">
        <f>G18*1.5</f>
        <v/>
      </c>
      <c r="O18" s="11">
        <f>H18*0.125</f>
        <v/>
      </c>
      <c r="P18" s="1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8.75" customHeight="1" s="55">
      <c r="A19" s="77" t="n"/>
      <c r="B19" s="13" t="n">
        <v>9</v>
      </c>
      <c r="C19" s="14" t="n"/>
      <c r="D19" s="15" t="n"/>
      <c r="E19" s="15" t="n"/>
      <c r="F19" s="15" t="n"/>
      <c r="G19" s="15" t="n"/>
      <c r="H19" s="15" t="n"/>
      <c r="I19" s="16">
        <f>IF(AND(COUNT(C19)&gt;0, COUNT(D19)&gt;0, COUNT(E19)&gt;0, COUNT(F19)&gt;0, COUNT(G19)&gt;0, COUNT(H19)&gt;0), 10 - SUM(J19:O19), "")</f>
        <v/>
      </c>
      <c r="J19" s="10">
        <f>IF(C19&gt;2, (C19-2) * 0.25, 0)</f>
        <v/>
      </c>
      <c r="K19" s="11">
        <f>IF(D19&gt;1, (D19-1) * 0.25, 0)</f>
        <v/>
      </c>
      <c r="L19" s="11">
        <f>E19</f>
        <v/>
      </c>
      <c r="M19" s="11">
        <f>F19</f>
        <v/>
      </c>
      <c r="N19" s="11">
        <f>G19*1.5</f>
        <v/>
      </c>
      <c r="O19" s="11">
        <f>H19*0.125</f>
        <v/>
      </c>
      <c r="P19" s="1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8.75" customHeight="1" s="55">
      <c r="A20" s="77" t="n"/>
      <c r="B20" s="13" t="n">
        <v>10</v>
      </c>
      <c r="C20" s="14" t="n"/>
      <c r="D20" s="15" t="n"/>
      <c r="E20" s="15" t="n"/>
      <c r="F20" s="15" t="n"/>
      <c r="G20" s="15" t="n"/>
      <c r="H20" s="15" t="n"/>
      <c r="I20" s="16">
        <f>IF(AND(COUNT(C20)&gt;0, COUNT(D20)&gt;0, COUNT(E20)&gt;0, COUNT(F20)&gt;0, COUNT(G20)&gt;0, COUNT(H20)&gt;0), 10 - SUM(J20:O20), "")</f>
        <v/>
      </c>
      <c r="J20" s="10">
        <f>IF(C20&gt;2, (C20-2) * 0.25, 0)</f>
        <v/>
      </c>
      <c r="K20" s="11">
        <f>IF(D20&gt;1, (D20-1) * 0.25, 0)</f>
        <v/>
      </c>
      <c r="L20" s="11">
        <f>E20</f>
        <v/>
      </c>
      <c r="M20" s="11">
        <f>F20</f>
        <v/>
      </c>
      <c r="N20" s="11">
        <f>G20*1.5</f>
        <v/>
      </c>
      <c r="O20" s="11">
        <f>H20*0.125</f>
        <v/>
      </c>
      <c r="P20" s="1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8.75" customHeight="1" s="55">
      <c r="A21" s="77" t="n"/>
      <c r="B21" s="84" t="inlineStr">
        <is>
          <t>المجموع</t>
        </is>
      </c>
      <c r="C21" s="85" t="n"/>
      <c r="D21" s="85" t="n"/>
      <c r="E21" s="85" t="n"/>
      <c r="F21" s="85" t="n"/>
      <c r="G21" s="85" t="n"/>
      <c r="H21" s="86" t="n"/>
      <c r="I21" s="17">
        <f>IF(AND(I11 = "", I12 = "", I13 = "", I14 = "", I15 = "", I16 = "", I17 = "", I18 = "", I19 = "",I20 = ""), "", (SUM(I11:I20) / (COUNT(I11:I20) * 10)) * 100)</f>
        <v/>
      </c>
      <c r="J21" s="18" t="n"/>
      <c r="K21" s="18" t="n"/>
      <c r="L21" s="18" t="n"/>
      <c r="M21" s="18" t="n"/>
      <c r="N21" s="18" t="n"/>
      <c r="O21" s="18" t="n"/>
      <c r="P21" s="1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8.75" customHeight="1" s="55">
      <c r="A22" s="87" t="n"/>
      <c r="B22" s="88" t="inlineStr">
        <is>
          <t>التقدير</t>
        </is>
      </c>
      <c r="C22" s="89" t="n"/>
      <c r="D22" s="89" t="n"/>
      <c r="E22" s="89" t="n"/>
      <c r="F22" s="89" t="n"/>
      <c r="G22" s="89" t="n"/>
      <c r="H22" s="90" t="n"/>
      <c r="I22" s="19">
        <f>IF(I21 = "", "", IF(I21 &gt;= 90, "ممتاز", IF(I21 &gt;= 80, "جيدجدا", IF(I21 &gt;= 70, "جيد", "راسب"))))</f>
        <v/>
      </c>
      <c r="J22" s="18" t="n"/>
      <c r="K22" s="18" t="n"/>
      <c r="L22" s="18" t="n"/>
      <c r="M22" s="18" t="n"/>
      <c r="N22" s="18" t="n"/>
      <c r="O22" s="18" t="n"/>
      <c r="P22" s="1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8.75" customHeight="1" s="55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8.75" customHeight="1" s="55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8.75" customHeight="1" s="5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8.75" customHeight="1" s="55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8.75" customHeight="1" s="55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8.75" customHeight="1" s="55">
      <c r="A28" s="1" t="n"/>
      <c r="B28" s="1" t="n"/>
      <c r="C28" s="20" t="n"/>
      <c r="D28" s="20" t="n"/>
      <c r="E28" s="20" t="n"/>
      <c r="F28" s="20" t="n"/>
      <c r="G28" s="20" t="n"/>
      <c r="H28" s="20" t="n"/>
      <c r="I28" s="1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2" t="n"/>
      <c r="Y28" s="2" t="n"/>
      <c r="Z28" s="2" t="n"/>
    </row>
    <row r="29" ht="18.75" customHeight="1" s="55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8.75" customHeight="1" s="55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8.75" customHeight="1" s="55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8.75" customHeight="1" s="55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8.75" customHeight="1" s="55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8.75" customHeight="1" s="55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8.75" customHeight="1" s="5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8.75" customHeight="1" s="55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8.75" customHeight="1" s="55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8.75" customHeight="1" s="55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8.75" customHeight="1" s="55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8.75" customHeight="1" s="55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8.75" customHeight="1" s="55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8.75" customHeight="1" s="55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8.75" customHeight="1" s="55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8.75" customHeight="1" s="55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8.75" customHeight="1" s="5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8.75" customHeight="1" s="55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8.75" customHeight="1" s="55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8.75" customHeight="1" s="55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8.75" customHeight="1" s="55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8.75" customHeight="1" s="55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8.75" customHeight="1" s="55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8.75" customHeight="1" s="55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8.75" customHeight="1" s="55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8.75" customHeight="1" s="55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8.75" customHeight="1" s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8.75" customHeight="1" s="55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8.75" customHeight="1" s="55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8.75" customHeight="1" s="55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8.75" customHeight="1" s="55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8.75" customHeight="1" s="55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8.75" customHeight="1" s="55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8.75" customHeight="1" s="55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8.75" customHeight="1" s="55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8.75" customHeight="1" s="55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8.75" customHeight="1" s="5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8.75" customHeight="1" s="55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8.75" customHeight="1" s="55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8.75" customHeight="1" s="55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8.75" customHeight="1" s="55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8.75" customHeight="1" s="55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8.75" customHeight="1" s="55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8.75" customHeight="1" s="55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8.75" customHeight="1" s="55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8.75" customHeight="1" s="55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8.75" customHeight="1" s="5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8.75" customHeight="1" s="55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8.75" customHeight="1" s="5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8.75" customHeight="1" s="55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8.75" customHeight="1" s="55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8.75" customHeight="1" s="55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8.75" customHeight="1" s="55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8.75" customHeight="1" s="55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8.75" customHeight="1" s="55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8.75" customHeight="1" s="55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8.75" customHeight="1" s="5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8.75" customHeight="1" s="55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8.75" customHeight="1" s="55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8.75" customHeight="1" s="55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8.75" customHeight="1" s="55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8.75" customHeight="1" s="55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8.75" customHeight="1" s="55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8.75" customHeight="1" s="55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8.75" customHeight="1" s="55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8.75" customHeight="1" s="55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8.75" customHeight="1" s="5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8.75" customHeight="1" s="55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8.75" customHeight="1" s="55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8.75" customHeight="1" s="55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8.75" customHeight="1" s="55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8.75" customHeight="1" s="55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8.75" customHeight="1" s="55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8.75" customHeight="1" s="55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8.75" customHeight="1" s="55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8.75" customHeight="1" s="55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8.75" customHeight="1" s="5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8.75" customHeight="1" s="55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8.75" customHeight="1" s="55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8.75" customHeight="1" s="55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8.75" customHeight="1" s="55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8.75" customHeight="1" s="55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8.75" customHeight="1" s="55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8.75" customHeight="1" s="55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8.75" customHeight="1" s="55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8.75" customHeight="1" s="55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8.75" customHeight="1" s="5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8.75" customHeight="1" s="55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8.75" customHeight="1" s="55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8.75" customHeight="1" s="55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8.75" customHeight="1" s="55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8.75" customHeight="1" s="55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8.75" customHeight="1" s="55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8.75" customHeight="1" s="55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8.75" customHeight="1" s="55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8.75" customHeight="1" s="55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8.75" customHeight="1" s="5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8.75" customHeight="1" s="55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8.75" customHeight="1" s="55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8.75" customHeight="1" s="55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8.75" customHeight="1" s="55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8.75" customHeight="1" s="55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8.75" customHeight="1" s="55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8.75" customHeight="1" s="55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8.75" customHeight="1" s="55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8.75" customHeight="1" s="55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8.75" customHeight="1" s="5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8.75" customHeight="1" s="55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8.75" customHeight="1" s="55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8.75" customHeight="1" s="55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8.75" customHeight="1" s="55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8.75" customHeight="1" s="55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8.75" customHeight="1" s="55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8.75" customHeight="1" s="55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8.75" customHeight="1" s="55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8.75" customHeight="1" s="55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8.75" customHeight="1" s="5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8.75" customHeight="1" s="55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8.75" customHeight="1" s="55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8.75" customHeight="1" s="55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8.75" customHeight="1" s="55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8.75" customHeight="1" s="55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8.75" customHeight="1" s="55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8.75" customHeight="1" s="55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8.75" customHeight="1" s="55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8.75" customHeight="1" s="55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8.75" customHeight="1" s="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8.75" customHeight="1" s="55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8.75" customHeight="1" s="55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8.75" customHeight="1" s="55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8.75" customHeight="1" s="55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8.75" customHeight="1" s="55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8.75" customHeight="1" s="55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8.75" customHeight="1" s="55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8.75" customHeight="1" s="55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8.75" customHeight="1" s="55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8.75" customHeight="1" s="5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8.75" customHeight="1" s="55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8.75" customHeight="1" s="55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8.75" customHeight="1" s="55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8.75" customHeight="1" s="55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8.75" customHeight="1" s="55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8.75" customHeight="1" s="55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8.75" customHeight="1" s="55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8.75" customHeight="1" s="55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8.75" customHeight="1" s="55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8.75" customHeight="1" s="5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8.75" customHeight="1" s="55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8.75" customHeight="1" s="55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8.75" customHeight="1" s="55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8.75" customHeight="1" s="55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8.75" customHeight="1" s="55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8.75" customHeight="1" s="55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8.75" customHeight="1" s="55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8.75" customHeight="1" s="55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8.75" customHeight="1" s="55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8.75" customHeight="1" s="5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8.75" customHeight="1" s="55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8.75" customHeight="1" s="55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8.75" customHeight="1" s="55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8.75" customHeight="1" s="55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8.75" customHeight="1" s="55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8.75" customHeight="1" s="55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8.75" customHeight="1" s="55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8.75" customHeight="1" s="55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8.75" customHeight="1" s="55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8.75" customHeight="1" s="5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8.75" customHeight="1" s="55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8.75" customHeight="1" s="55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8.75" customHeight="1" s="55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8.75" customHeight="1" s="55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8.75" customHeight="1" s="55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8.75" customHeight="1" s="55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8.75" customHeight="1" s="55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8.75" customHeight="1" s="55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8.75" customHeight="1" s="55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8.75" customHeight="1" s="5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8.75" customHeight="1" s="55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8.75" customHeight="1" s="55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8.75" customHeight="1" s="55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8.75" customHeight="1" s="55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8.75" customHeight="1" s="55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8.75" customHeight="1" s="55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8.75" customHeight="1" s="55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8.75" customHeight="1" s="55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8.75" customHeight="1" s="55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8.75" customHeight="1" s="5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8.75" customHeight="1" s="55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8.75" customHeight="1" s="55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8.75" customHeight="1" s="55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8.75" customHeight="1" s="55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8.75" customHeight="1" s="55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8.75" customHeight="1" s="55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8.75" customHeight="1" s="55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8.75" customHeight="1" s="55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8.75" customHeight="1" s="55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8.75" customHeight="1" s="5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8.75" customHeight="1" s="55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8.75" customHeight="1" s="55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8.75" customHeight="1" s="55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8.75" customHeight="1" s="55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8.75" customHeight="1" s="55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8.75" customHeight="1" s="55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8.75" customHeight="1" s="55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8.75" customHeight="1" s="55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8.75" customHeight="1" s="55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8.75" customHeight="1" s="5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8.75" customHeight="1" s="55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8.75" customHeight="1" s="55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8.75" customHeight="1" s="55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8.75" customHeight="1" s="55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8.75" customHeight="1" s="55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8.75" customHeight="1" s="55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8.75" customHeight="1" s="55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8.75" customHeight="1" s="55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8.75" customHeight="1" s="55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8.75" customHeight="1" s="5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8.75" customHeight="1" s="55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8.75" customHeight="1" s="55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8.75" customHeight="1" s="55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8.75" customHeight="1" s="55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8.75" customHeight="1" s="55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8.75" customHeight="1" s="55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8.75" customHeight="1" s="55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8.75" customHeight="1" s="55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8.75" customHeight="1" s="55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8.75" customHeight="1" s="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8.75" customHeight="1" s="55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8.75" customHeight="1" s="55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8.75" customHeight="1" s="55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8.75" customHeight="1" s="55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8.75" customHeight="1" s="55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8.75" customHeight="1" s="55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8.75" customHeight="1" s="55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8.75" customHeight="1" s="55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8.75" customHeight="1" s="55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8.75" customHeight="1" s="5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8.75" customHeight="1" s="55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8.75" customHeight="1" s="55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8.75" customHeight="1" s="55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8.75" customHeight="1" s="55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8.75" customHeight="1" s="55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8.75" customHeight="1" s="55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8.75" customHeight="1" s="55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8.75" customHeight="1" s="55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8.75" customHeight="1" s="55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8.75" customHeight="1" s="5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8.75" customHeight="1" s="55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8.75" customHeight="1" s="55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8.75" customHeight="1" s="55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8.75" customHeight="1" s="55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8.75" customHeight="1" s="55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8.75" customHeight="1" s="55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8.75" customHeight="1" s="55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8.75" customHeight="1" s="55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8.75" customHeight="1" s="55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8.75" customHeight="1" s="5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8.75" customHeight="1" s="55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8.75" customHeight="1" s="55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8.75" customHeight="1" s="55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8.75" customHeight="1" s="55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8.75" customHeight="1" s="55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8.75" customHeight="1" s="55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8.75" customHeight="1" s="55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8.75" customHeight="1" s="55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8.75" customHeight="1" s="55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8.75" customHeight="1" s="5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8.75" customHeight="1" s="55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8.75" customHeight="1" s="55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8.75" customHeight="1" s="55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8.75" customHeight="1" s="55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8.75" customHeight="1" s="55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8.75" customHeight="1" s="55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8.75" customHeight="1" s="55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8.75" customHeight="1" s="55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8.75" customHeight="1" s="55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8.75" customHeight="1" s="55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8.75" customHeight="1" s="55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8.75" customHeight="1" s="55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8.75" customHeight="1" s="55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8.75" customHeight="1" s="55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8.75" customHeight="1" s="55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8.75" customHeight="1" s="55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8.75" customHeight="1" s="55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8.75" customHeight="1" s="55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8.75" customHeight="1" s="55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8.75" customHeight="1" s="55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8.75" customHeight="1" s="55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8.75" customHeight="1" s="55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8.75" customHeight="1" s="55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8.75" customHeight="1" s="55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8.75" customHeight="1" s="55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8.75" customHeight="1" s="55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8.75" customHeight="1" s="55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8.75" customHeight="1" s="55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8.75" customHeight="1" s="55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8.75" customHeight="1" s="55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8.75" customHeight="1" s="55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8.75" customHeight="1" s="55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8.75" customHeight="1" s="55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8.75" customHeight="1" s="55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8.75" customHeight="1" s="55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8.75" customHeight="1" s="55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8.75" customHeight="1" s="55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8.75" customHeight="1" s="55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8.75" customHeight="1" s="55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8.75" customHeight="1" s="55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8.75" customHeight="1" s="55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8.75" customHeight="1" s="55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8.75" customHeight="1" s="55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8.75" customHeight="1" s="55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8.75" customHeight="1" s="55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8.75" customHeight="1" s="55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8.75" customHeight="1" s="55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8.75" customHeight="1" s="55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8.75" customHeight="1" s="55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8.75" customHeight="1" s="55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8.75" customHeight="1" s="55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8.75" customHeight="1" s="55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8.75" customHeight="1" s="55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8.75" customHeight="1" s="55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8.75" customHeight="1" s="55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8.75" customHeight="1" s="55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8.75" customHeight="1" s="55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8.75" customHeight="1" s="55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8.75" customHeight="1" s="55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8.75" customHeight="1" s="55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8.75" customHeight="1" s="55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8.75" customHeight="1" s="55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8.75" customHeight="1" s="55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8.75" customHeight="1" s="55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8.75" customHeight="1" s="55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8.75" customHeight="1" s="55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8.75" customHeight="1" s="55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8.75" customHeight="1" s="55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8.75" customHeight="1" s="55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8.75" customHeight="1" s="55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8.75" customHeight="1" s="55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8.75" customHeight="1" s="55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8.75" customHeight="1" s="55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8.75" customHeight="1" s="55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8.75" customHeight="1" s="55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8.75" customHeight="1" s="55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8.75" customHeight="1" s="55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8.75" customHeight="1" s="55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8.75" customHeight="1" s="55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8.75" customHeight="1" s="55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8.75" customHeight="1" s="55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8.75" customHeight="1" s="55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8.75" customHeight="1" s="55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8.75" customHeight="1" s="55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8.75" customHeight="1" s="55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8.75" customHeight="1" s="55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8.75" customHeight="1" s="55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8.75" customHeight="1" s="55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8.75" customHeight="1" s="55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8.75" customHeight="1" s="55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8.75" customHeight="1" s="55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8.75" customHeight="1" s="55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8.75" customHeight="1" s="55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8.75" customHeight="1" s="55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8.75" customHeight="1" s="55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8.75" customHeight="1" s="55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8.75" customHeight="1" s="55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8.75" customHeight="1" s="55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8.75" customHeight="1" s="55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8.75" customHeight="1" s="55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8.75" customHeight="1" s="55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8.75" customHeight="1" s="55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8.75" customHeight="1" s="55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8.75" customHeight="1" s="55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8.75" customHeight="1" s="55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8.75" customHeight="1" s="55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8.75" customHeight="1" s="55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8.75" customHeight="1" s="55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8.75" customHeight="1" s="55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8.75" customHeight="1" s="55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8.75" customHeight="1" s="55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8.75" customHeight="1" s="55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8.75" customHeight="1" s="55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8.75" customHeight="1" s="55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8.75" customHeight="1" s="55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8.75" customHeight="1" s="55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8.75" customHeight="1" s="55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8.75" customHeight="1" s="55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8.75" customHeight="1" s="55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8.75" customHeight="1" s="55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8.75" customHeight="1" s="55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8.75" customHeight="1" s="55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8.75" customHeight="1" s="55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8.75" customHeight="1" s="55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8.75" customHeight="1" s="55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8.75" customHeight="1" s="55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8.75" customHeight="1" s="55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8.75" customHeight="1" s="55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8.75" customHeight="1" s="55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8.75" customHeight="1" s="55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8.75" customHeight="1" s="55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8.75" customHeight="1" s="55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8.75" customHeight="1" s="55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8.75" customHeight="1" s="55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8.75" customHeight="1" s="55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8.75" customHeight="1" s="55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8.75" customHeight="1" s="55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8.75" customHeight="1" s="55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8.75" customHeight="1" s="55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8.75" customHeight="1" s="55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8.75" customHeight="1" s="55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8.75" customHeight="1" s="55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8.75" customHeight="1" s="55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8.75" customHeight="1" s="55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8.75" customHeight="1" s="55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8.75" customHeight="1" s="55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8.75" customHeight="1" s="55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8.75" customHeight="1" s="55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8.75" customHeight="1" s="55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8.75" customHeight="1" s="55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8.75" customHeight="1" s="55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8.75" customHeight="1" s="55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8.75" customHeight="1" s="55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8.75" customHeight="1" s="55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8.75" customHeight="1" s="55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8.75" customHeight="1" s="55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8.75" customHeight="1" s="55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8.75" customHeight="1" s="55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8.75" customHeight="1" s="55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8.75" customHeight="1" s="55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8.75" customHeight="1" s="55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8.75" customHeight="1" s="55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8.75" customHeight="1" s="55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8.75" customHeight="1" s="55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8.75" customHeight="1" s="55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8.75" customHeight="1" s="55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8.75" customHeight="1" s="55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8.75" customHeight="1" s="55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8.75" customHeight="1" s="55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8.75" customHeight="1" s="55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8.75" customHeight="1" s="55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8.75" customHeight="1" s="55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8.75" customHeight="1" s="55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8.75" customHeight="1" s="55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8.75" customHeight="1" s="55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8.75" customHeight="1" s="55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8.75" customHeight="1" s="55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8.75" customHeight="1" s="55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8.75" customHeight="1" s="55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8.75" customHeight="1" s="55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8.75" customHeight="1" s="55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8.75" customHeight="1" s="55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8.75" customHeight="1" s="55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8.75" customHeight="1" s="55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8.75" customHeight="1" s="55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8.75" customHeight="1" s="55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8.75" customHeight="1" s="55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8.75" customHeight="1" s="55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8.75" customHeight="1" s="55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8.75" customHeight="1" s="55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8.75" customHeight="1" s="55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8.75" customHeight="1" s="55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8.75" customHeight="1" s="55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8.75" customHeight="1" s="55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8.75" customHeight="1" s="55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8.75" customHeight="1" s="55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8.75" customHeight="1" s="55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8.75" customHeight="1" s="55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8.75" customHeight="1" s="55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8.75" customHeight="1" s="55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8.75" customHeight="1" s="55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8.75" customHeight="1" s="55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8.75" customHeight="1" s="55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8.75" customHeight="1" s="55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8.75" customHeight="1" s="55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8.75" customHeight="1" s="55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8.75" customHeight="1" s="55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8.75" customHeight="1" s="55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8.75" customHeight="1" s="55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8.75" customHeight="1" s="55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8.75" customHeight="1" s="55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8.75" customHeight="1" s="55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8.75" customHeight="1" s="55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8.75" customHeight="1" s="55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8.75" customHeight="1" s="55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8.75" customHeight="1" s="55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8.75" customHeight="1" s="55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8.75" customHeight="1" s="55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8.75" customHeight="1" s="55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8.75" customHeight="1" s="55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8.75" customHeight="1" s="55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8.75" customHeight="1" s="55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8.75" customHeight="1" s="55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8.75" customHeight="1" s="55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8.75" customHeight="1" s="55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8.75" customHeight="1" s="55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8.75" customHeight="1" s="55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8.75" customHeight="1" s="55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8.75" customHeight="1" s="55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8.75" customHeight="1" s="55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8.75" customHeight="1" s="55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8.75" customHeight="1" s="55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8.75" customHeight="1" s="55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8.75" customHeight="1" s="55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8.75" customHeight="1" s="55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8.75" customHeight="1" s="55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8.75" customHeight="1" s="55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8.75" customHeight="1" s="55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8.75" customHeight="1" s="55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8.75" customHeight="1" s="55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8.75" customHeight="1" s="55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8.75" customHeight="1" s="55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8.75" customHeight="1" s="55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8.75" customHeight="1" s="55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8.75" customHeight="1" s="55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8.75" customHeight="1" s="55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8.75" customHeight="1" s="55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8.75" customHeight="1" s="55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8.75" customHeight="1" s="55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8.75" customHeight="1" s="55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8.75" customHeight="1" s="55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8.75" customHeight="1" s="55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8.75" customHeight="1" s="55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8.75" customHeight="1" s="55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8.75" customHeight="1" s="55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8.75" customHeight="1" s="55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8.75" customHeight="1" s="55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8.75" customHeight="1" s="55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8.75" customHeight="1" s="55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8.75" customHeight="1" s="55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8.75" customHeight="1" s="55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8.75" customHeight="1" s="55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8.75" customHeight="1" s="55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8.75" customHeight="1" s="55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8.75" customHeight="1" s="55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8.75" customHeight="1" s="55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8.75" customHeight="1" s="55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8.75" customHeight="1" s="55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8.75" customHeight="1" s="55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8.75" customHeight="1" s="55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8.75" customHeight="1" s="55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8.75" customHeight="1" s="55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8.75" customHeight="1" s="55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8.75" customHeight="1" s="55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8.75" customHeight="1" s="55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8.75" customHeight="1" s="55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8.75" customHeight="1" s="55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8.75" customHeight="1" s="55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8.75" customHeight="1" s="55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8.75" customHeight="1" s="55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8.75" customHeight="1" s="55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8.75" customHeight="1" s="55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8.75" customHeight="1" s="55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8.75" customHeight="1" s="55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8.75" customHeight="1" s="55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8.75" customHeight="1" s="55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8.75" customHeight="1" s="55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8.75" customHeight="1" s="55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8.75" customHeight="1" s="55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8.75" customHeight="1" s="55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8.75" customHeight="1" s="55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8.75" customHeight="1" s="55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8.75" customHeight="1" s="55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8.75" customHeight="1" s="55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8.75" customHeight="1" s="55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8.75" customHeight="1" s="55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8.75" customHeight="1" s="55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8.75" customHeight="1" s="55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8.75" customHeight="1" s="55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8.75" customHeight="1" s="55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8.75" customHeight="1" s="55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8.75" customHeight="1" s="55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8.75" customHeight="1" s="55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8.75" customHeight="1" s="55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8.75" customHeight="1" s="55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8.75" customHeight="1" s="55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8.75" customHeight="1" s="55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8.75" customHeight="1" s="55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8.75" customHeight="1" s="55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8.75" customHeight="1" s="55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8.75" customHeight="1" s="55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8.75" customHeight="1" s="55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8.75" customHeight="1" s="55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8.75" customHeight="1" s="55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8.75" customHeight="1" s="55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8.75" customHeight="1" s="55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8.75" customHeight="1" s="55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8.75" customHeight="1" s="55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8.75" customHeight="1" s="55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8.75" customHeight="1" s="55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8.75" customHeight="1" s="55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8.75" customHeight="1" s="55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8.75" customHeight="1" s="55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8.75" customHeight="1" s="55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8.75" customHeight="1" s="55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8.75" customHeight="1" s="55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8.75" customHeight="1" s="55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8.75" customHeight="1" s="55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8.75" customHeight="1" s="55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8.75" customHeight="1" s="55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8.75" customHeight="1" s="55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8.75" customHeight="1" s="55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8.75" customHeight="1" s="55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8.75" customHeight="1" s="55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8.75" customHeight="1" s="55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8.75" customHeight="1" s="55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8.75" customHeight="1" s="55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8.75" customHeight="1" s="55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8.75" customHeight="1" s="55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8.75" customHeight="1" s="55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8.75" customHeight="1" s="55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8.75" customHeight="1" s="55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8.75" customHeight="1" s="55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8.75" customHeight="1" s="55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8.75" customHeight="1" s="55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8.75" customHeight="1" s="55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8.75" customHeight="1" s="55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8.75" customHeight="1" s="55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8.75" customHeight="1" s="55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8.75" customHeight="1" s="55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8.75" customHeight="1" s="55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8.75" customHeight="1" s="55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8.75" customHeight="1" s="55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8.75" customHeight="1" s="55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8.75" customHeight="1" s="55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8.75" customHeight="1" s="55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8.75" customHeight="1" s="55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8.75" customHeight="1" s="55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8.75" customHeight="1" s="55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8.75" customHeight="1" s="55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8.75" customHeight="1" s="55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8.75" customHeight="1" s="55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8.75" customHeight="1" s="55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8.75" customHeight="1" s="55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8.75" customHeight="1" s="55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8.75" customHeight="1" s="55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8.75" customHeight="1" s="55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8.75" customHeight="1" s="55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8.75" customHeight="1" s="55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8.75" customHeight="1" s="55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8.75" customHeight="1" s="55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8.75" customHeight="1" s="55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8.75" customHeight="1" s="55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8.75" customHeight="1" s="55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8.75" customHeight="1" s="55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8.75" customHeight="1" s="55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8.75" customHeight="1" s="55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8.75" customHeight="1" s="55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8.75" customHeight="1" s="55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8.75" customHeight="1" s="55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8.75" customHeight="1" s="55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8.75" customHeight="1" s="55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8.75" customHeight="1" s="55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8.75" customHeight="1" s="55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8.75" customHeight="1" s="55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8.75" customHeight="1" s="55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8.75" customHeight="1" s="55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8.75" customHeight="1" s="55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8.75" customHeight="1" s="55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8.75" customHeight="1" s="55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8.75" customHeight="1" s="55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8.75" customHeight="1" s="55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8.75" customHeight="1" s="55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8.75" customHeight="1" s="55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8.75" customHeight="1" s="55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8.75" customHeight="1" s="55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8.75" customHeight="1" s="55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8.75" customHeight="1" s="55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8.75" customHeight="1" s="55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8.75" customHeight="1" s="55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8.75" customHeight="1" s="55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8.75" customHeight="1" s="55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8.75" customHeight="1" s="55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8.75" customHeight="1" s="55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8.75" customHeight="1" s="55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8.75" customHeight="1" s="55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8.75" customHeight="1" s="55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8.75" customHeight="1" s="55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8.75" customHeight="1" s="55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8.75" customHeight="1" s="55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8.75" customHeight="1" s="55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8.75" customHeight="1" s="55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8.75" customHeight="1" s="55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8.75" customHeight="1" s="55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8.75" customHeight="1" s="55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8.75" customHeight="1" s="55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8.75" customHeight="1" s="55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8.75" customHeight="1" s="55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8.75" customHeight="1" s="55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8.75" customHeight="1" s="55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8.75" customHeight="1" s="55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8.75" customHeight="1" s="55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8.75" customHeight="1" s="55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8.75" customHeight="1" s="55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8.75" customHeight="1" s="55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8.75" customHeight="1" s="55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8.75" customHeight="1" s="55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8.75" customHeight="1" s="55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8.75" customHeight="1" s="55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8.75" customHeight="1" s="55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8.75" customHeight="1" s="55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8.75" customHeight="1" s="55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8.75" customHeight="1" s="55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8.75" customHeight="1" s="55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8.75" customHeight="1" s="55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8.75" customHeight="1" s="55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8.75" customHeight="1" s="55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8.75" customHeight="1" s="55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8.75" customHeight="1" s="55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8.75" customHeight="1" s="55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8.75" customHeight="1" s="55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8.75" customHeight="1" s="55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8.75" customHeight="1" s="55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8.75" customHeight="1" s="55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8.75" customHeight="1" s="55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8.75" customHeight="1" s="55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8.75" customHeight="1" s="55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8.75" customHeight="1" s="55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8.75" customHeight="1" s="55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8.75" customHeight="1" s="55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8.75" customHeight="1" s="55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8.75" customHeight="1" s="55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8.75" customHeight="1" s="55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8.75" customHeight="1" s="55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8.75" customHeight="1" s="55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8.75" customHeight="1" s="55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8.75" customHeight="1" s="55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8.75" customHeight="1" s="55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8.75" customHeight="1" s="55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8.75" customHeight="1" s="55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8.75" customHeight="1" s="55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8.75" customHeight="1" s="55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8.75" customHeight="1" s="55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8.75" customHeight="1" s="55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8.75" customHeight="1" s="55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8.75" customHeight="1" s="55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8.75" customHeight="1" s="55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8.75" customHeight="1" s="55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8.75" customHeight="1" s="55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8.75" customHeight="1" s="55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8.75" customHeight="1" s="55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8.75" customHeight="1" s="55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8.75" customHeight="1" s="55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8.75" customHeight="1" s="55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8.75" customHeight="1" s="55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8.75" customHeight="1" s="55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8.75" customHeight="1" s="55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8.75" customHeight="1" s="55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8.75" customHeight="1" s="55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8.75" customHeight="1" s="55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8.75" customHeight="1" s="55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8.75" customHeight="1" s="55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8.75" customHeight="1" s="55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8.75" customHeight="1" s="55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8.75" customHeight="1" s="55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8.75" customHeight="1" s="55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8.75" customHeight="1" s="55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8.75" customHeight="1" s="55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8.75" customHeight="1" s="55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8.75" customHeight="1" s="55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8.75" customHeight="1" s="55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8.75" customHeight="1" s="55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8.75" customHeight="1" s="55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8.75" customHeight="1" s="55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8.75" customHeight="1" s="55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8.75" customHeight="1" s="55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8.75" customHeight="1" s="55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8.75" customHeight="1" s="55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8.75" customHeight="1" s="55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8.75" customHeight="1" s="55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8.75" customHeight="1" s="55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8.75" customHeight="1" s="55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8.75" customHeight="1" s="55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8.75" customHeight="1" s="55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8.75" customHeight="1" s="55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8.75" customHeight="1" s="55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8.75" customHeight="1" s="55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8.75" customHeight="1" s="55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8.75" customHeight="1" s="55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8.75" customHeight="1" s="55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8.75" customHeight="1" s="55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8.75" customHeight="1" s="55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8.75" customHeight="1" s="55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8.75" customHeight="1" s="55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8.75" customHeight="1" s="55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8.75" customHeight="1" s="55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8.75" customHeight="1" s="55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8.75" customHeight="1" s="55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8.75" customHeight="1" s="55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8.75" customHeight="1" s="55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8.75" customHeight="1" s="55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8.75" customHeight="1" s="55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8.75" customHeight="1" s="55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8.75" customHeight="1" s="55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8.75" customHeight="1" s="55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8.75" customHeight="1" s="55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8.75" customHeight="1" s="55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8.75" customHeight="1" s="55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8.75" customHeight="1" s="55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8.75" customHeight="1" s="55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8.75" customHeight="1" s="55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8.75" customHeight="1" s="55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8.75" customHeight="1" s="55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8.75" customHeight="1" s="55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8.75" customHeight="1" s="55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8.75" customHeight="1" s="55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8.75" customHeight="1" s="55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8.75" customHeight="1" s="55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8.75" customHeight="1" s="55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8.75" customHeight="1" s="55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8.75" customHeight="1" s="55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8.75" customHeight="1" s="55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8.75" customHeight="1" s="55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8.75" customHeight="1" s="55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8.75" customHeight="1" s="55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8.75" customHeight="1" s="55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8.75" customHeight="1" s="55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8.75" customHeight="1" s="55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8.75" customHeight="1" s="55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8.75" customHeight="1" s="55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8.75" customHeight="1" s="55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8.75" customHeight="1" s="55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8.75" customHeight="1" s="55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8.75" customHeight="1" s="55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8.75" customHeight="1" s="55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8.75" customHeight="1" s="55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8.75" customHeight="1" s="55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8.75" customHeight="1" s="55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8.75" customHeight="1" s="55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8.75" customHeight="1" s="55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8.75" customHeight="1" s="55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8.75" customHeight="1" s="55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8.75" customHeight="1" s="55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8.75" customHeight="1" s="55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8.75" customHeight="1" s="55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8.75" customHeight="1" s="55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8.75" customHeight="1" s="55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8.75" customHeight="1" s="55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8.75" customHeight="1" s="55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8.75" customHeight="1" s="55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8.75" customHeight="1" s="55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8.75" customHeight="1" s="55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8.75" customHeight="1" s="55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8.75" customHeight="1" s="55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8.75" customHeight="1" s="55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8.75" customHeight="1" s="55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8.75" customHeight="1" s="55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8.75" customHeight="1" s="55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8.75" customHeight="1" s="55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8.75" customHeight="1" s="55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8.75" customHeight="1" s="55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8.75" customHeight="1" s="55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8.75" customHeight="1" s="55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8.75" customHeight="1" s="55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8.75" customHeight="1" s="55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8.75" customHeight="1" s="55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8.75" customHeight="1" s="55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8.75" customHeight="1" s="55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8.75" customHeight="1" s="55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8.75" customHeight="1" s="55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8.75" customHeight="1" s="55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8.75" customHeight="1" s="55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8.75" customHeight="1" s="55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8.75" customHeight="1" s="55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8.75" customHeight="1" s="55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8.75" customHeight="1" s="55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8.75" customHeight="1" s="55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8.75" customHeight="1" s="55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8.75" customHeight="1" s="55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8.75" customHeight="1" s="55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8.75" customHeight="1" s="55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8.75" customHeight="1" s="55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8.75" customHeight="1" s="55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8.75" customHeight="1" s="55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8.75" customHeight="1" s="55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8.75" customHeight="1" s="55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8.75" customHeight="1" s="55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8.75" customHeight="1" s="55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8.75" customHeight="1" s="55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8.75" customHeight="1" s="55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8.75" customHeight="1" s="55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8.75" customHeight="1" s="55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8.75" customHeight="1" s="55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8.75" customHeight="1" s="55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8.75" customHeight="1" s="55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8.75" customHeight="1" s="55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8.75" customHeight="1" s="55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8.75" customHeight="1" s="55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8.75" customHeight="1" s="55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8.75" customHeight="1" s="55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8.75" customHeight="1" s="55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8.75" customHeight="1" s="55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8.75" customHeight="1" s="55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8.75" customHeight="1" s="55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8.75" customHeight="1" s="55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8.75" customHeight="1" s="55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8.75" customHeight="1" s="55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8.75" customHeight="1" s="55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8.75" customHeight="1" s="55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8.75" customHeight="1" s="55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8.75" customHeight="1" s="55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8.75" customHeight="1" s="55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8.75" customHeight="1" s="55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8.75" customHeight="1" s="55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8.75" customHeight="1" s="55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8.75" customHeight="1" s="55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8.75" customHeight="1" s="55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8.75" customHeight="1" s="55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8.75" customHeight="1" s="55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8.75" customHeight="1" s="55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8.75" customHeight="1" s="55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8.75" customHeight="1" s="55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8.75" customHeight="1" s="55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8.75" customHeight="1" s="55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8.75" customHeight="1" s="55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8.75" customHeight="1" s="55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8.75" customHeight="1" s="55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8.75" customHeight="1" s="55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8.75" customHeight="1" s="55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8.75" customHeight="1" s="55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8.75" customHeight="1" s="55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8.75" customHeight="1" s="55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8.75" customHeight="1" s="55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8.75" customHeight="1" s="55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8.75" customHeight="1" s="55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8.75" customHeight="1" s="55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8.75" customHeight="1" s="55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8.75" customHeight="1" s="55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8.75" customHeight="1" s="55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8.75" customHeight="1" s="55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8.75" customHeight="1" s="55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8.75" customHeight="1" s="55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8.75" customHeight="1" s="55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8.75" customHeight="1" s="55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8.75" customHeight="1" s="55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8.75" customHeight="1" s="55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8.75" customHeight="1" s="55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8.75" customHeight="1" s="55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8.75" customHeight="1" s="55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8.75" customHeight="1" s="55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8.75" customHeight="1" s="55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8.75" customHeight="1" s="55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8.75" customHeight="1" s="55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8.75" customHeight="1" s="55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8.75" customHeight="1" s="55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8.75" customHeight="1" s="55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8.75" customHeight="1" s="55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8.75" customHeight="1" s="55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8.75" customHeight="1" s="55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8.75" customHeight="1" s="55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8.75" customHeight="1" s="55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8.75" customHeight="1" s="55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8.75" customHeight="1" s="55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8.75" customHeight="1" s="55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8.75" customHeight="1" s="55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8.75" customHeight="1" s="55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8.75" customHeight="1" s="55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8.75" customHeight="1" s="55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8.75" customHeight="1" s="55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8.75" customHeight="1" s="55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8.75" customHeight="1" s="55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8.75" customHeight="1" s="55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8.75" customHeight="1" s="55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8.75" customHeight="1" s="55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8.75" customHeight="1" s="55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8.75" customHeight="1" s="55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8.75" customHeight="1" s="55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8.75" customHeight="1" s="55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8.75" customHeight="1" s="55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8.75" customHeight="1" s="55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8.75" customHeight="1" s="55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8.75" customHeight="1" s="55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8.75" customHeight="1" s="55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8.75" customHeight="1" s="55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8.75" customHeight="1" s="55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26">
    <mergeCell ref="H9:H10"/>
    <mergeCell ref="J9:J10"/>
    <mergeCell ref="A7:A8"/>
    <mergeCell ref="C9:C10"/>
    <mergeCell ref="E2:G2"/>
    <mergeCell ref="E9:E10"/>
    <mergeCell ref="A9:A22"/>
    <mergeCell ref="B22:H22"/>
    <mergeCell ref="B9:B10"/>
    <mergeCell ref="D9:D10"/>
    <mergeCell ref="H2:I2"/>
    <mergeCell ref="F9:F10"/>
    <mergeCell ref="L9:L10"/>
    <mergeCell ref="N9:N10"/>
    <mergeCell ref="B21:H21"/>
    <mergeCell ref="B7:I8"/>
    <mergeCell ref="A5:B5"/>
    <mergeCell ref="A4:B4"/>
    <mergeCell ref="G9:G10"/>
    <mergeCell ref="I9:I10"/>
    <mergeCell ref="C5:E5"/>
    <mergeCell ref="K9:K10"/>
    <mergeCell ref="M9:M10"/>
    <mergeCell ref="O9:O10"/>
    <mergeCell ref="C4:E4"/>
    <mergeCell ref="A2:D2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alrag</dc:creator>
  <dcterms:created xsi:type="dcterms:W3CDTF">2021-02-07T07:05:38Z</dcterms:created>
  <dcterms:modified xsi:type="dcterms:W3CDTF">2025-08-05T22:08:16Z</dcterms:modified>
  <cp:lastModifiedBy>Raghad AlJabr</cp:lastModifiedBy>
</cp:coreProperties>
</file>