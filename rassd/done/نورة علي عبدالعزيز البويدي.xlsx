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og0l12G0oLl+RZ4y+wTNd2nnBVis8mnLcKu3Xk3pQ94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<sst xmlns="http://schemas.openxmlformats.org/spreadsheetml/2006/main" count="32" uniqueCount="25">
  <si>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</si>
  <si>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</si>
  <si>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</si>
  <si>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</si>
  <si>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نورة علي عبدالعزيز البويدي</t>
  </si>
  <si>
    <t>المنهج</t>
  </si>
  <si>
    <t>تعاهد 3</t>
  </si>
  <si>
    <t>السجل المدني</t>
  </si>
  <si>
    <t>اسم البرنامج</t>
  </si>
  <si>
    <t>تاج الوقار</t>
  </si>
  <si>
    <t>المستوى</t>
  </si>
  <si>
    <t>الناس - الروم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</si>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</sst>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1.046758312E9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1.0</v>
      </c>
      <c r="E11" s="39">
        <v>1.0</v>
      </c>
      <c r="F11" s="39">
        <v>0.0</v>
      </c>
      <c r="G11" s="39">
        <v>0.0</v>
      </c>
      <c r="H11" s="39">
        <v>0.0</v>
      </c>
      <c r="I11" s="40">
        <f t="shared" ref="I11:I17" si="2">IF(AND(COUNT(C11)&gt;0, COUNT(D11)&gt;0, COUNT(E11)&gt;0, COUNT(F11)&gt;0, COUNT(G11)&gt;0, COUNT(H11)&gt;0), 10 - SUM(J11:O11), "")</f>
        <v>9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1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2.0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9.75</v>
      </c>
      <c r="J15" s="41">
        <f t="shared" si="3"/>
        <v>0</v>
      </c>
      <c r="K15" s="42">
        <f t="shared" si="4"/>
        <v>0.25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2.0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9.75</v>
      </c>
      <c r="J17" s="41">
        <f t="shared" si="3"/>
        <v>0</v>
      </c>
      <c r="K17" s="42">
        <f t="shared" si="4"/>
        <v>0.25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0.0</v>
      </c>
      <c r="E18" s="39">
        <v>0.0</v>
      </c>
      <c r="F18" s="39">
        <v>1.0</v>
      </c>
      <c r="G18" s="39">
        <v>0.0</v>
      </c>
      <c r="H18" s="39">
        <v>0.0</v>
      </c>
      <c r="I18" s="40" t="str">
        <f>IF(AND(COUNT(C18)&gt;0, COUNT(D18)&gt;0, COUNT(E18)&gt;0, COUNT(F18)&gt;0, COUNT(G18)&gt;0, COUNT(H18)&gt;0), 10 - SUM(J18:O18), "")٠</f>
        <v>#ERROR!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1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ref="I19:I20" si="15">IF(AND(COUNT(C19)&gt;0, COUNT(D19)&gt;0, COUNT(E19)&gt;0, COUNT(F19)&gt;0, COUNT(G19)&gt;0, COUNT(H19)&gt;0), 10 - SUM(J19:O19), "")</f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1.0</v>
      </c>
      <c r="G20" s="46">
        <v>0.0</v>
      </c>
      <c r="H20" s="46">
        <v>0.0</v>
      </c>
      <c r="I20" s="47">
        <f t="shared" si="15"/>
        <v>9</v>
      </c>
      <c r="J20" s="41">
        <f t="shared" si="3"/>
        <v>0</v>
      </c>
      <c r="K20" s="42">
        <f t="shared" si="4"/>
        <v>0</v>
      </c>
      <c r="L20" s="42">
        <f t="shared" ref="L20:M20" si="16">E20</f>
        <v>0</v>
      </c>
      <c r="M20" s="42">
        <f t="shared" si="16"/>
        <v>1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 t="str">
        <f>IF(AND(I11 = "", I12 = "", I13 = "", I14 = "", I15 = "", I16 = "", I17 = "", I18 = "", I19 = "",I20 = ""), "", (SUM(I11:I20) / (COUNT(I11:I20) * 10)) * 100)</f>
        <v>#ERROR!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#ERROR!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