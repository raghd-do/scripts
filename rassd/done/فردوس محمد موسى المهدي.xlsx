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xOC4i+HmSTVKJol2yUWATZVYkrqi7hb6qXRcz2CT5m4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<sst xmlns="http://schemas.openxmlformats.org/spreadsheetml/2006/main" count="32" uniqueCount="25">
  <si>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</si>
  <si>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</si>
  <si>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</si>
  <si>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</si>
  <si>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فردوس محمد موسى المهدي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</si>
  <si>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</si>
  <si>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</si>
  <si>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</si>
  <si>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</si>
  <si>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</si>
  <si>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</si>
  <si>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الفاتحة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</si>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</sst>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2.15721925E9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3.0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19" si="2">IF(AND(COUNT(C11)&gt;0, COUNT(D11)&gt;0, COUNT(E11)&gt;0, COUNT(F11)&gt;0, COUNT(G11)&gt;0, COUNT(H11)&gt;0), 10 - SUM(J11:O11), "")</f>
        <v>9.5</v>
      </c>
      <c r="J11" s="41">
        <f t="shared" ref="J11:J20" si="3">IF(C11&gt;2, (C11-2) * 0.25, 0)</f>
        <v>0</v>
      </c>
      <c r="K11" s="42">
        <f t="shared" ref="K11:K20" si="4">IF(D11&gt;1, (D11-1) * 0.25, 0)</f>
        <v>0.5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3.0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9.5</v>
      </c>
      <c r="J13" s="41">
        <f t="shared" si="3"/>
        <v>0</v>
      </c>
      <c r="K13" s="42">
        <f t="shared" si="4"/>
        <v>0.5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1.0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1.0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2.0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9.75</v>
      </c>
      <c r="J19" s="41">
        <f t="shared" si="3"/>
        <v>0</v>
      </c>
      <c r="K19" s="42">
        <f t="shared" si="4"/>
        <v>0.25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 t="str">
        <f>IF(AND(COUNT(C20)&gt;0, COUNT(D20)&gt;0, COUNT(E20)&gt;0, COUNT(F20)&gt;0, COUNT(G20)&gt;0, COUNT(H20)&gt;0), 10 - SUM(J20:O20), "")٠</f>
        <v>#ERROR!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 t="str">
        <f>IF(AND(I11 = "", I12 = "", I13 = "", I14 = "", I15 = "", I16 = "", I17 = "", I18 = "", I19 = "",I20 = ""), "", (SUM(I11:I20) / (COUNT(I11:I20) * 10)) * 100)</f>
        <v>#ERROR!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#ERROR!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