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1CzE6aUyYvvhDEeSffdQbD7lEGERvSkH08kPD+i3Qp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<sst xmlns="http://schemas.openxmlformats.org/spreadsheetml/2006/main" count="32" uniqueCount="25">
  <si>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</si>
  <si>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</si>
  <si>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</si>
  <si>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</si>
  <si>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لطيفه فؤاد محمد العنزي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</si>
  <si>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</si>
  <si>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</si>
  <si>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</si>
  <si>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</si>
  <si>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</si>
  <si>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</si>
  <si>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التوبة ٩٣ - الكهف ٧٤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</si>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</sst>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1.129407365E9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2.0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9.75</v>
      </c>
      <c r="J11" s="40">
        <f t="shared" ref="J11:J20" si="3">IF(C11&gt;2, (C11-2) * 0.25, 0)</f>
        <v>0</v>
      </c>
      <c r="K11" s="41">
        <f t="shared" ref="K11:K20" si="4">IF(D11&gt;1, (D11-1) * 0.25, 0)</f>
        <v>0.25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2.0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9.75</v>
      </c>
      <c r="J12" s="40">
        <f t="shared" si="3"/>
        <v>0</v>
      </c>
      <c r="K12" s="41">
        <f t="shared" si="4"/>
        <v>0.25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1.0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1.0</v>
      </c>
      <c r="H14" s="38">
        <v>0.0</v>
      </c>
      <c r="I14" s="39">
        <f t="shared" si="2"/>
        <v>8.5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1.5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3"/>
      <c r="D16" s="44"/>
      <c r="E16" s="44"/>
      <c r="F16" s="44"/>
      <c r="G16" s="44"/>
      <c r="H16" s="44"/>
      <c r="I16" s="39" t="str">
        <f t="shared" si="2"/>
        <v/>
      </c>
      <c r="J16" s="40">
        <f t="shared" si="3"/>
        <v>0</v>
      </c>
      <c r="K16" s="41">
        <f t="shared" si="4"/>
        <v>0</v>
      </c>
      <c r="L16" s="41" t="str">
        <f t="shared" ref="L16:M16" si="11">E16</f>
        <v/>
      </c>
      <c r="M16" s="41" t="str">
        <f t="shared" si="11"/>
        <v/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3"/>
      <c r="D17" s="44"/>
      <c r="E17" s="44"/>
      <c r="F17" s="44"/>
      <c r="G17" s="44"/>
      <c r="H17" s="44"/>
      <c r="I17" s="39" t="str">
        <f t="shared" si="2"/>
        <v/>
      </c>
      <c r="J17" s="40">
        <f t="shared" si="3"/>
        <v>0</v>
      </c>
      <c r="K17" s="41">
        <f t="shared" si="4"/>
        <v>0</v>
      </c>
      <c r="L17" s="41" t="str">
        <f t="shared" ref="L17:M17" si="12">E17</f>
        <v/>
      </c>
      <c r="M17" s="41" t="str">
        <f t="shared" si="12"/>
        <v/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3"/>
      <c r="D18" s="44"/>
      <c r="E18" s="44"/>
      <c r="F18" s="44"/>
      <c r="G18" s="44"/>
      <c r="H18" s="44"/>
      <c r="I18" s="39" t="str">
        <f t="shared" si="2"/>
        <v/>
      </c>
      <c r="J18" s="40">
        <f t="shared" si="3"/>
        <v>0</v>
      </c>
      <c r="K18" s="41">
        <f t="shared" si="4"/>
        <v>0</v>
      </c>
      <c r="L18" s="41" t="str">
        <f t="shared" ref="L18:M18" si="13">E18</f>
        <v/>
      </c>
      <c r="M18" s="41" t="str">
        <f t="shared" si="13"/>
        <v/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5">
        <v>9.0</v>
      </c>
      <c r="C19" s="46"/>
      <c r="D19" s="47"/>
      <c r="E19" s="47"/>
      <c r="F19" s="47"/>
      <c r="G19" s="47"/>
      <c r="H19" s="47"/>
      <c r="I19" s="48" t="str">
        <f t="shared" si="2"/>
        <v/>
      </c>
      <c r="J19" s="40">
        <f t="shared" si="3"/>
        <v>0</v>
      </c>
      <c r="K19" s="41">
        <f t="shared" si="4"/>
        <v>0</v>
      </c>
      <c r="L19" s="41" t="str">
        <f t="shared" ref="L19:M19" si="14">E19</f>
        <v/>
      </c>
      <c r="M19" s="41" t="str">
        <f t="shared" si="14"/>
        <v/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5">
        <v>10.0</v>
      </c>
      <c r="C20" s="46"/>
      <c r="D20" s="47"/>
      <c r="E20" s="47"/>
      <c r="F20" s="47"/>
      <c r="G20" s="47"/>
      <c r="H20" s="47"/>
      <c r="I20" s="48" t="str">
        <f t="shared" si="2"/>
        <v/>
      </c>
      <c r="J20" s="40">
        <f t="shared" si="3"/>
        <v>0</v>
      </c>
      <c r="K20" s="41">
        <f t="shared" si="4"/>
        <v>0</v>
      </c>
      <c r="L20" s="41" t="str">
        <f t="shared" ref="L20:M20" si="15">E20</f>
        <v/>
      </c>
      <c r="M20" s="41" t="str">
        <f t="shared" si="15"/>
        <v/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9" t="s">
        <v>23</v>
      </c>
      <c r="C21" s="50"/>
      <c r="D21" s="50"/>
      <c r="E21" s="50"/>
      <c r="F21" s="50"/>
      <c r="G21" s="50"/>
      <c r="H21" s="51"/>
      <c r="I21" s="52">
        <f>IF(AND(I11 = "", I12 = "", I13 = "", I14 = "", I15 = "", I16 = "", I17 = "", I18 = "", I19 = "",I20 = ""), "", (SUM(I11:I20) / (COUNT(I11:I20) * 10)) * 100)</f>
        <v>96</v>
      </c>
      <c r="J21" s="53"/>
      <c r="K21" s="53"/>
      <c r="L21" s="53"/>
      <c r="M21" s="53"/>
      <c r="N21" s="53"/>
      <c r="O21" s="53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4"/>
      <c r="B22" s="55" t="s">
        <v>24</v>
      </c>
      <c r="C22" s="56"/>
      <c r="D22" s="56"/>
      <c r="E22" s="56"/>
      <c r="F22" s="56"/>
      <c r="G22" s="56"/>
      <c r="H22" s="57"/>
      <c r="I22" s="58" t="str">
        <f>IF(I21 = "", "", IF(I21 &gt;= 90, "ممتاز", IF(I21 &gt;= 80, "جيدجدا", IF(I21 &gt;= 70, "جيد", "راسب"))))</f>
        <v>ممتاز</v>
      </c>
      <c r="J22" s="53"/>
      <c r="K22" s="53"/>
      <c r="L22" s="53"/>
      <c r="M22" s="53"/>
      <c r="N22" s="53"/>
      <c r="O22" s="53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9"/>
      <c r="D28" s="59"/>
      <c r="E28" s="59"/>
      <c r="F28" s="59"/>
      <c r="G28" s="59"/>
      <c r="H28" s="59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