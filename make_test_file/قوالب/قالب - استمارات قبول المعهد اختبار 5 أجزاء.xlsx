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CODE\scripts\make_test_file\قوالب\"/>
    </mc:Choice>
  </mc:AlternateContent>
  <xr:revisionPtr revIDLastSave="0" documentId="13_ncr:1_{232246EC-F713-4F51-A3A3-890ECD7BC5D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استمارة القبول" sheetId="1" r:id="rId1"/>
  </sheets>
  <calcPr calcId="181029"/>
  <extLst>
    <ext uri="GoogleSheetsCustomDataVersion1">
      <go:sheetsCustomData xmlns:go="http://customooxmlschemas.google.com/" r:id="rId5" roundtripDataSignature="AMtx7miQi3jaCOzkgpntPrNLbxZswE9LtQ=="/>
    </ext>
  </extLst>
</workbook>
</file>

<file path=xl/calcChain.xml><?xml version="1.0" encoding="utf-8"?>
<calcChain xmlns="http://schemas.openxmlformats.org/spreadsheetml/2006/main">
  <c r="H16" i="1" l="1"/>
  <c r="P16" i="1"/>
  <c r="O16" i="1"/>
  <c r="N16" i="1"/>
  <c r="M16" i="1"/>
  <c r="L16" i="1"/>
  <c r="P15" i="1"/>
  <c r="O15" i="1"/>
  <c r="N15" i="1"/>
  <c r="M15" i="1"/>
  <c r="L15" i="1"/>
  <c r="H15" i="1"/>
  <c r="P14" i="1"/>
  <c r="O14" i="1"/>
  <c r="N14" i="1"/>
  <c r="M14" i="1"/>
  <c r="L14" i="1"/>
  <c r="H14" i="1"/>
  <c r="P13" i="1"/>
  <c r="O13" i="1"/>
  <c r="N13" i="1"/>
  <c r="M13" i="1"/>
  <c r="L13" i="1"/>
  <c r="H13" i="1"/>
  <c r="H12" i="1"/>
  <c r="H17" i="1" l="1"/>
  <c r="H18" i="1" s="1"/>
</calcChain>
</file>

<file path=xl/sharedStrings.xml><?xml version="1.0" encoding="utf-8"?>
<sst xmlns="http://schemas.openxmlformats.org/spreadsheetml/2006/main" count="24" uniqueCount="19">
  <si>
    <t>الجمعية الخيرية لتحفيظ القرآن الكريم في محافظة عنيزة</t>
  </si>
  <si>
    <t>استمارة القبول لطالبات المعهد</t>
  </si>
  <si>
    <t>اسم الطالبة رباعي</t>
  </si>
  <si>
    <t>اليوم</t>
  </si>
  <si>
    <t>الدبلوم</t>
  </si>
  <si>
    <t>التاريخ</t>
  </si>
  <si>
    <t>الأجزاء</t>
  </si>
  <si>
    <t>استمارة خمس أجزاء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</si>
  <si>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</si>
  <si>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</si>
  <si>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</si>
  <si>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</si>
  <si>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</si>
  <si>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</si>
  <si>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الدرجة</t>
  </si>
  <si>
    <t>المجموع</t>
  </si>
  <si>
    <t>التقدير</t>
  </si>
  <si>
    <t>اسم االلجنة 1</t>
  </si>
  <si>
    <t>اسم االلجنة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</si>
</sst>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4"/>
      <color theme="1"/>
      <name val="Calibri"/>
    </font>
    <font>
      <sz val="12"/>
      <color theme="1"/>
      <name val="Calibri"/>
    </font>
    <font>
      <sz val="11"/>
      <name val="Calibri"/>
    </font>
    <font>
      <sz val="14"/>
      <color rgb="FFF2F2F2"/>
      <name val="Calibri"/>
    </font>
    <font>
      <b/>
      <sz val="16"/>
      <color theme="0"/>
      <name val="Calibri"/>
    </font>
    <font>
      <b/>
      <sz val="16"/>
      <color rgb="FFFFFFFF"/>
      <name val="Calibri"/>
    </font>
    <font>
      <sz val="14"/>
      <color theme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333F4F"/>
        <bgColor rgb="FF333F4F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1" fontId="1" fillId="7" borderId="35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4" fillId="2" borderId="25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6" fillId="5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" fillId="0" borderId="17" xfId="0" applyFont="1" applyBorder="1" applyAlignment="1">
      <alignment horizontal="center" vertical="center" wrapText="1"/>
    </xf>
    <xf numFmtId="0" fontId="3" fillId="0" borderId="22" xfId="0" applyFont="1" applyBorder="1"/>
    <xf numFmtId="0" fontId="1" fillId="0" borderId="18" xfId="0" applyFont="1" applyBorder="1" applyAlignment="1">
      <alignment horizontal="center" vertical="center" wrapText="1"/>
    </xf>
    <xf numFmtId="0" fontId="3" fillId="0" borderId="23" xfId="0" applyFont="1" applyBorder="1"/>
    <xf numFmtId="0" fontId="4" fillId="2" borderId="24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5" fillId="5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1" fillId="6" borderId="14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1" fillId="0" borderId="15" xfId="0" applyFont="1" applyBorder="1" applyAlignment="1">
      <alignment horizontal="center" vertical="center" wrapText="1"/>
    </xf>
    <xf numFmtId="0" fontId="3" fillId="0" borderId="20" xfId="0" applyFont="1" applyBorder="1"/>
    <xf numFmtId="0" fontId="1" fillId="0" borderId="16" xfId="0" applyFont="1" applyBorder="1" applyAlignment="1">
      <alignment horizontal="center" vertical="center" wrapText="1"/>
    </xf>
    <xf numFmtId="0" fontId="3" fillId="0" borderId="21" xfId="0" applyFont="1" applyBorder="1"/>
    <xf numFmtId="0" fontId="7" fillId="8" borderId="32" xfId="0" applyFont="1" applyFill="1" applyBorder="1" applyAlignment="1">
      <alignment horizontal="center" vertical="center"/>
    </xf>
    <xf numFmtId="0" fontId="3" fillId="0" borderId="33" xfId="0" applyFont="1" applyBorder="1"/>
    <xf numFmtId="0" fontId="3" fillId="0" borderId="34" xfId="0" applyFont="1" applyBorder="1"/>
    <xf numFmtId="0" fontId="7" fillId="8" borderId="3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940"/>
  <sheetViews>
    <sheetView rightToLeft="1" tabSelected="1" workbookViewId="0">
      <selection activeCell="H17" sqref="H17"/>
    </sheetView>
  </sheetViews>
  <sheetFormatPr defaultColWidth="14.3984375" defaultRowHeight="15" customHeight="1"/>
  <cols>
    <col min="1" max="1" width="10" customWidth="1"/>
    <col min="2" max="2" width="8.73046875" customWidth="1"/>
    <col min="3" max="7" width="15.73046875" customWidth="1"/>
    <col min="8" max="9" width="20.73046875" customWidth="1"/>
    <col min="10" max="10" width="10.73046875" customWidth="1"/>
    <col min="11" max="22" width="9.1328125" customWidth="1"/>
    <col min="23" max="25" width="8.73046875" customWidth="1"/>
  </cols>
  <sheetData>
    <row r="1" spans="1:25" ht="18.7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.75" customHeight="1">
      <c r="A2" s="16" t="s">
        <v>0</v>
      </c>
      <c r="B2" s="17"/>
      <c r="C2" s="17"/>
      <c r="D2" s="17"/>
      <c r="E2" s="16" t="s">
        <v>1</v>
      </c>
      <c r="F2" s="17"/>
      <c r="G2" s="17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.75" customHeight="1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8.75" customHeight="1">
      <c r="A4" s="18" t="s">
        <v>2</v>
      </c>
      <c r="B4" s="19"/>
      <c r="C4" s="20"/>
      <c r="D4" s="21"/>
      <c r="E4" s="19"/>
      <c r="F4" s="4" t="s">
        <v>3</v>
      </c>
      <c r="G4" s="20"/>
      <c r="H4" s="1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8.75" customHeight="1">
      <c r="A5" s="18" t="s">
        <v>4</v>
      </c>
      <c r="B5" s="19"/>
      <c r="C5" s="20"/>
      <c r="D5" s="21"/>
      <c r="E5" s="19"/>
      <c r="F5" s="4" t="s">
        <v>5</v>
      </c>
      <c r="G5" s="20"/>
      <c r="H5" s="1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8.75" customHeight="1">
      <c r="A6" s="18" t="s">
        <v>6</v>
      </c>
      <c r="B6" s="21"/>
      <c r="C6" s="19"/>
      <c r="D6" s="20"/>
      <c r="E6" s="21"/>
      <c r="F6" s="21"/>
      <c r="G6" s="21"/>
      <c r="H6" s="1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8.75" customHeight="1">
      <c r="A7" s="1"/>
      <c r="B7" s="1"/>
      <c r="C7" s="1"/>
      <c r="D7" s="1"/>
      <c r="E7" s="1"/>
      <c r="F7" s="1"/>
      <c r="G7" s="1"/>
      <c r="H7" s="1"/>
      <c r="I7" s="2"/>
      <c r="J7" s="2"/>
      <c r="K7" s="5"/>
      <c r="L7" s="5"/>
      <c r="M7" s="5"/>
      <c r="N7" s="5"/>
      <c r="O7" s="5"/>
      <c r="P7" s="5"/>
      <c r="Q7" s="5"/>
      <c r="R7" s="2"/>
      <c r="S7" s="2"/>
      <c r="T7" s="2"/>
      <c r="U7" s="2"/>
      <c r="V7" s="2"/>
      <c r="W7" s="2"/>
      <c r="X7" s="2"/>
      <c r="Y7" s="2"/>
    </row>
    <row r="8" spans="1:25" ht="19.5" customHeight="1">
      <c r="A8" s="36"/>
      <c r="B8" s="24" t="s">
        <v>7</v>
      </c>
      <c r="C8" s="25"/>
      <c r="D8" s="25"/>
      <c r="E8" s="25"/>
      <c r="F8" s="25"/>
      <c r="G8" s="25"/>
      <c r="H8" s="26"/>
      <c r="I8" s="2"/>
      <c r="J8" s="2"/>
      <c r="K8" s="5"/>
      <c r="L8" s="5"/>
      <c r="M8" s="5"/>
      <c r="N8" s="5"/>
      <c r="O8" s="5"/>
      <c r="P8" s="5"/>
      <c r="Q8" s="5"/>
      <c r="R8" s="2"/>
      <c r="S8" s="2"/>
      <c r="T8" s="2"/>
      <c r="U8" s="2"/>
      <c r="V8" s="2"/>
      <c r="W8" s="2"/>
      <c r="X8" s="2"/>
    </row>
    <row r="9" spans="1:25" ht="18.75" customHeight="1">
      <c r="A9" s="37"/>
      <c r="B9" s="27"/>
      <c r="C9" s="28"/>
      <c r="D9" s="28"/>
      <c r="E9" s="28"/>
      <c r="F9" s="28"/>
      <c r="G9" s="28"/>
      <c r="H9" s="29"/>
      <c r="I9" s="2"/>
      <c r="J9" s="2"/>
      <c r="K9" s="5"/>
      <c r="L9" s="5"/>
      <c r="M9" s="5"/>
      <c r="N9" s="5"/>
      <c r="O9" s="5"/>
      <c r="P9" s="5"/>
      <c r="Q9" s="5"/>
      <c r="R9" s="2"/>
      <c r="S9" s="2"/>
      <c r="T9" s="2"/>
      <c r="U9" s="2"/>
      <c r="V9" s="2"/>
      <c r="W9" s="2"/>
      <c r="X9" s="2"/>
    </row>
    <row r="10" spans="1:25" ht="18.75" customHeight="1">
      <c r="A10" s="38"/>
      <c r="B10" s="40" t="s">
        <v>8</v>
      </c>
      <c r="C10" s="42" t="s">
        <v>9</v>
      </c>
      <c r="D10" s="30" t="s">
        <v>10</v>
      </c>
      <c r="E10" s="30" t="s">
        <v>11</v>
      </c>
      <c r="F10" s="30" t="s">
        <v>12</v>
      </c>
      <c r="G10" s="30" t="s">
        <v>13</v>
      </c>
      <c r="H10" s="32" t="s">
        <v>14</v>
      </c>
      <c r="I10" s="2"/>
      <c r="J10" s="2"/>
      <c r="K10" s="5"/>
      <c r="L10" s="5"/>
      <c r="M10" s="5"/>
      <c r="N10" s="5"/>
      <c r="O10" s="5"/>
      <c r="P10" s="5"/>
      <c r="Q10" s="5"/>
      <c r="R10" s="2"/>
      <c r="S10" s="2"/>
      <c r="T10" s="2"/>
      <c r="U10" s="2"/>
      <c r="V10" s="2"/>
      <c r="W10" s="2"/>
      <c r="X10" s="2"/>
    </row>
    <row r="11" spans="1:25" ht="18.75" customHeight="1">
      <c r="A11" s="39"/>
      <c r="B11" s="41"/>
      <c r="C11" s="43"/>
      <c r="D11" s="31"/>
      <c r="E11" s="31"/>
      <c r="F11" s="31"/>
      <c r="G11" s="31"/>
      <c r="H11" s="33"/>
      <c r="I11" s="2"/>
      <c r="J11" s="2"/>
      <c r="K11" s="5"/>
      <c r="L11" s="34" t="s">
        <v>9</v>
      </c>
      <c r="M11" s="22" t="s">
        <v>10</v>
      </c>
      <c r="N11" s="22" t="s">
        <v>11</v>
      </c>
      <c r="O11" s="22" t="s">
        <v>12</v>
      </c>
      <c r="P11" s="22" t="s">
        <v>13</v>
      </c>
      <c r="Q11" s="5"/>
      <c r="R11" s="2"/>
      <c r="S11" s="2"/>
      <c r="T11" s="2"/>
      <c r="U11" s="2"/>
      <c r="V11" s="2"/>
      <c r="W11" s="2"/>
      <c r="X11" s="2"/>
    </row>
    <row r="12" spans="1:25" ht="18.75" customHeight="1">
      <c r="A12" s="39"/>
      <c r="B12" s="6">
        <v>1</v>
      </c>
      <c r="C12" s="7"/>
      <c r="D12" s="8"/>
      <c r="E12" s="8"/>
      <c r="F12" s="8"/>
      <c r="G12" s="8"/>
      <c r="H12" s="9" t="str">
        <f t="shared" ref="H12:H15" si="0">IF(AND(COUNT(C12)&gt;0, COUNT(D12)&gt;0, COUNT(E12)&gt;0, COUNT(F12)&gt;0, COUNT(G12)&gt;0), 10 - SUM(L13:P13), "")</f>
        <v/>
      </c>
      <c r="I12" s="2"/>
      <c r="J12" s="2"/>
      <c r="K12" s="5"/>
      <c r="L12" s="35"/>
      <c r="M12" s="23"/>
      <c r="N12" s="23"/>
      <c r="O12" s="23"/>
      <c r="P12" s="23"/>
      <c r="Q12" s="5"/>
      <c r="R12" s="2"/>
      <c r="S12" s="2"/>
      <c r="T12" s="2"/>
      <c r="U12" s="2"/>
      <c r="V12" s="2"/>
      <c r="W12" s="2"/>
      <c r="X12" s="2"/>
    </row>
    <row r="13" spans="1:25" ht="18.75" customHeight="1">
      <c r="A13" s="39"/>
      <c r="B13" s="6">
        <v>2</v>
      </c>
      <c r="C13" s="7"/>
      <c r="D13" s="8"/>
      <c r="E13" s="8"/>
      <c r="F13" s="8"/>
      <c r="G13" s="8"/>
      <c r="H13" s="9" t="str">
        <f t="shared" si="0"/>
        <v/>
      </c>
      <c r="I13" s="2"/>
      <c r="J13" s="2"/>
      <c r="K13" s="5"/>
      <c r="L13" s="10">
        <f t="shared" ref="L13:L16" si="1">IF(C12&gt;2, (C12-2) * 0.25, 0)</f>
        <v>0</v>
      </c>
      <c r="M13" s="11">
        <f t="shared" ref="M13:M16" si="2">IF(D12&gt;1, (D12-1) * 0.25, 0)</f>
        <v>0</v>
      </c>
      <c r="N13" s="11">
        <f t="shared" ref="N13:O13" si="3">E12</f>
        <v>0</v>
      </c>
      <c r="O13" s="11">
        <f t="shared" si="3"/>
        <v>0</v>
      </c>
      <c r="P13" s="11">
        <f t="shared" ref="P13:P16" si="4">G12*1.5</f>
        <v>0</v>
      </c>
      <c r="Q13" s="5"/>
      <c r="R13" s="2"/>
      <c r="S13" s="2"/>
      <c r="T13" s="2"/>
      <c r="U13" s="2"/>
      <c r="V13" s="2"/>
      <c r="W13" s="2"/>
      <c r="X13" s="2"/>
    </row>
    <row r="14" spans="1:25" ht="18.75" customHeight="1">
      <c r="A14" s="39"/>
      <c r="B14" s="6">
        <v>3</v>
      </c>
      <c r="C14" s="7"/>
      <c r="D14" s="8"/>
      <c r="E14" s="8"/>
      <c r="F14" s="8"/>
      <c r="G14" s="8"/>
      <c r="H14" s="9" t="str">
        <f t="shared" si="0"/>
        <v/>
      </c>
      <c r="I14" s="2"/>
      <c r="J14" s="2"/>
      <c r="K14" s="5"/>
      <c r="L14" s="10">
        <f t="shared" si="1"/>
        <v>0</v>
      </c>
      <c r="M14" s="11">
        <f t="shared" si="2"/>
        <v>0</v>
      </c>
      <c r="N14" s="11">
        <f t="shared" ref="N14:O14" si="5">E13</f>
        <v>0</v>
      </c>
      <c r="O14" s="11">
        <f t="shared" si="5"/>
        <v>0</v>
      </c>
      <c r="P14" s="11">
        <f t="shared" si="4"/>
        <v>0</v>
      </c>
      <c r="Q14" s="5"/>
      <c r="R14" s="2"/>
      <c r="S14" s="2"/>
      <c r="T14" s="2"/>
      <c r="U14" s="2"/>
      <c r="V14" s="2"/>
      <c r="W14" s="2"/>
      <c r="X14" s="2"/>
    </row>
    <row r="15" spans="1:25" ht="18.75" customHeight="1">
      <c r="A15" s="39"/>
      <c r="B15" s="6">
        <v>4</v>
      </c>
      <c r="C15" s="7"/>
      <c r="D15" s="8"/>
      <c r="E15" s="8"/>
      <c r="F15" s="8"/>
      <c r="G15" s="8"/>
      <c r="H15" s="9" t="str">
        <f t="shared" si="0"/>
        <v/>
      </c>
      <c r="I15" s="2"/>
      <c r="J15" s="2"/>
      <c r="K15" s="5"/>
      <c r="L15" s="10">
        <f t="shared" si="1"/>
        <v>0</v>
      </c>
      <c r="M15" s="11">
        <f t="shared" si="2"/>
        <v>0</v>
      </c>
      <c r="N15" s="11">
        <f t="shared" ref="N15:O15" si="6">E14</f>
        <v>0</v>
      </c>
      <c r="O15" s="11">
        <f t="shared" si="6"/>
        <v>0</v>
      </c>
      <c r="P15" s="11">
        <f t="shared" si="4"/>
        <v>0</v>
      </c>
      <c r="Q15" s="5"/>
      <c r="R15" s="2"/>
      <c r="S15" s="2"/>
      <c r="T15" s="2"/>
      <c r="U15" s="2"/>
      <c r="V15" s="2"/>
      <c r="W15" s="2"/>
      <c r="X15" s="2"/>
    </row>
    <row r="16" spans="1:25" ht="18.75" customHeight="1">
      <c r="A16" s="39"/>
      <c r="B16" s="6">
        <v>5</v>
      </c>
      <c r="C16" s="7"/>
      <c r="D16" s="8"/>
      <c r="E16" s="8"/>
      <c r="F16" s="8"/>
      <c r="G16" s="8"/>
      <c r="H16" s="9" t="str">
        <f>IF(AND(COUNT(C16)&gt;0, COUNT(D16)&gt;0, COUNT(E16)&gt;0, COUNT(F16)&gt;0, COUNT(G16)&gt;0), 10 - SUM(L16:P16), "")</f>
        <v/>
      </c>
      <c r="I16" s="2"/>
      <c r="J16" s="2"/>
      <c r="K16" s="5"/>
      <c r="L16" s="10">
        <f t="shared" si="1"/>
        <v>0</v>
      </c>
      <c r="M16" s="11">
        <f t="shared" si="2"/>
        <v>0</v>
      </c>
      <c r="N16" s="11">
        <f t="shared" ref="N16:O16" si="7">E15</f>
        <v>0</v>
      </c>
      <c r="O16" s="11">
        <f t="shared" si="7"/>
        <v>0</v>
      </c>
      <c r="P16" s="11">
        <f t="shared" si="4"/>
        <v>0</v>
      </c>
      <c r="Q16" s="5"/>
      <c r="R16" s="2"/>
      <c r="S16" s="2"/>
      <c r="T16" s="2"/>
      <c r="U16" s="2"/>
      <c r="V16" s="2"/>
      <c r="W16" s="2"/>
      <c r="X16" s="2"/>
    </row>
    <row r="17" spans="1:25" ht="18.75" customHeight="1">
      <c r="A17" s="39"/>
      <c r="B17" s="44" t="s">
        <v>15</v>
      </c>
      <c r="C17" s="45"/>
      <c r="D17" s="45"/>
      <c r="E17" s="45"/>
      <c r="F17" s="45"/>
      <c r="G17" s="46"/>
      <c r="H17" s="12" t="str">
        <f>IF(AND(H12 = "", H13 = "", H14 = "", H15 = "", H16 = ""), "", (SUM(H12:H16) / (COUNT(H12:H16) * 10)) * 100)</f>
        <v/>
      </c>
      <c r="I17" s="2"/>
      <c r="J17" s="2"/>
      <c r="K17" s="5"/>
      <c r="L17" s="5"/>
      <c r="M17" s="5"/>
      <c r="N17" s="5"/>
      <c r="O17" s="5"/>
      <c r="P17" s="5"/>
      <c r="Q17" s="5"/>
      <c r="R17" s="2"/>
      <c r="S17" s="2"/>
      <c r="T17" s="2"/>
      <c r="U17" s="2"/>
      <c r="V17" s="2"/>
      <c r="W17" s="2"/>
      <c r="X17" s="2"/>
    </row>
    <row r="18" spans="1:25" ht="18.75" customHeight="1">
      <c r="A18" s="37"/>
      <c r="B18" s="47" t="s">
        <v>16</v>
      </c>
      <c r="C18" s="21"/>
      <c r="D18" s="21"/>
      <c r="E18" s="21"/>
      <c r="F18" s="21"/>
      <c r="G18" s="19"/>
      <c r="H18" s="9" t="str">
        <f>IF(H17 = "", "", IF(H17 &gt;= 90, "ممتاز", IF(H17 &gt;= 80, "جيدجدا", IF(H17 &gt;= 60, "جيد", "راسب"))))</f>
        <v/>
      </c>
      <c r="I18" s="2"/>
      <c r="J18" s="2"/>
      <c r="K18" s="5"/>
      <c r="L18" s="5"/>
      <c r="M18" s="5"/>
      <c r="N18" s="13"/>
      <c r="O18" s="5"/>
      <c r="P18" s="5"/>
      <c r="Q18" s="5"/>
      <c r="R18" s="2"/>
      <c r="S18" s="2"/>
      <c r="T18" s="2"/>
      <c r="U18" s="2"/>
      <c r="V18" s="2"/>
      <c r="W18" s="2"/>
      <c r="X18" s="2"/>
    </row>
    <row r="19" spans="1:25" ht="18.75" customHeight="1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5" ht="18.75" customHeight="1">
      <c r="A20" s="18" t="s">
        <v>17</v>
      </c>
      <c r="B20" s="19"/>
      <c r="C20" s="20"/>
      <c r="D20" s="21"/>
      <c r="E20" s="21"/>
      <c r="F20" s="21"/>
      <c r="G20" s="21"/>
      <c r="H20" s="1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8.75" customHeight="1">
      <c r="A21" s="18" t="s">
        <v>18</v>
      </c>
      <c r="B21" s="19"/>
      <c r="C21" s="20"/>
      <c r="D21" s="21"/>
      <c r="E21" s="21"/>
      <c r="F21" s="21"/>
      <c r="G21" s="21"/>
      <c r="H21" s="1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8.75" customHeight="1">
      <c r="A22" s="1"/>
      <c r="B22" s="1"/>
      <c r="C22" s="14"/>
      <c r="D22" s="14"/>
      <c r="E22" s="14"/>
      <c r="F22" s="14"/>
      <c r="G22" s="14"/>
      <c r="H22" s="1"/>
      <c r="I22" s="2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2"/>
      <c r="X22" s="2"/>
      <c r="Y22" s="2"/>
    </row>
    <row r="23" spans="1:25" ht="18.75" customHeight="1">
      <c r="A23" s="1"/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8.75" customHeight="1">
      <c r="A24" s="1"/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.75" customHeight="1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.75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8.75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8.75" customHeight="1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8.75" customHeight="1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8.75" customHeight="1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8.75" customHeight="1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8.75" customHeight="1">
      <c r="A32" s="1"/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8.75" customHeight="1">
      <c r="A33" s="1"/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8.75" customHeight="1">
      <c r="A34" s="1"/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8.75" customHeight="1">
      <c r="A35" s="1"/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8.75" customHeight="1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8.75" customHeight="1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8.75" customHeight="1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8.75" customHeight="1">
      <c r="A39" s="1"/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8.75" customHeight="1">
      <c r="A40" s="1"/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8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8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8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8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8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8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8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8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8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8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8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8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8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8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8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8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8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8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8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8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8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8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8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8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8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8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8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8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8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8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8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8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8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8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8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8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8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8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8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8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8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8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8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8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8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8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8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8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8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8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8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8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8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8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8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8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8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8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8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8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8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8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8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8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8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8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8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8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8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8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</sheetData>
  <mergeCells count="31">
    <mergeCell ref="A5:B5"/>
    <mergeCell ref="A6:C6"/>
    <mergeCell ref="A8:A9"/>
    <mergeCell ref="A10:A18"/>
    <mergeCell ref="B10:B11"/>
    <mergeCell ref="C10:C11"/>
    <mergeCell ref="B17:G17"/>
    <mergeCell ref="B18:G18"/>
    <mergeCell ref="C5:E5"/>
    <mergeCell ref="G5:H5"/>
    <mergeCell ref="A20:B20"/>
    <mergeCell ref="C20:H20"/>
    <mergeCell ref="A21:B21"/>
    <mergeCell ref="C21:H21"/>
    <mergeCell ref="O11:O12"/>
    <mergeCell ref="P11:P12"/>
    <mergeCell ref="D6:H6"/>
    <mergeCell ref="B8:H9"/>
    <mergeCell ref="D10:D11"/>
    <mergeCell ref="E10:E11"/>
    <mergeCell ref="F10:F11"/>
    <mergeCell ref="G10:G11"/>
    <mergeCell ref="H10:H11"/>
    <mergeCell ref="L11:L12"/>
    <mergeCell ref="M11:M12"/>
    <mergeCell ref="N11:N12"/>
    <mergeCell ref="A2:D2"/>
    <mergeCell ref="E2:G2"/>
    <mergeCell ref="A4:B4"/>
    <mergeCell ref="C4:E4"/>
    <mergeCell ref="G4:H4"/>
  </mergeCells>
  <conditionalFormatting sqref="H17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استمارة القبول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alrag</dc:creator>
  <cp:lastModifiedBy>Raghad AlJabr</cp:lastModifiedBy>
  <dcterms:created xsi:type="dcterms:W3CDTF">2021-02-07T07:05:38Z</dcterms:created>
  <dcterms:modified xsi:type="dcterms:W3CDTF">2025-08-03T19:20:02Z</dcterms:modified>
</cp:coreProperties>
</file>